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na\Documents\skripshyt\progress skripsi after sempro\"/>
    </mc:Choice>
  </mc:AlternateContent>
  <xr:revisionPtr revIDLastSave="0" documentId="13_ncr:1_{B141BF3E-2FA1-4A56-8E92-93E26597A7F5}" xr6:coauthVersionLast="47" xr6:coauthVersionMax="47" xr10:uidLastSave="{00000000-0000-0000-0000-000000000000}"/>
  <bookViews>
    <workbookView xWindow="-98" yWindow="-98" windowWidth="21795" windowHeight="12975" firstSheet="2" activeTab="6" xr2:uid="{D3FAA6C8-C295-4F42-A0D0-CF29CFE006C9}"/>
  </bookViews>
  <sheets>
    <sheet name="Risk Events" sheetId="1" r:id="rId1"/>
    <sheet name="Risk Events (done isi)" sheetId="5" r:id="rId2"/>
    <sheet name="Risk Agents" sheetId="4" r:id="rId3"/>
    <sheet name="Risk Agents (done isi)" sheetId="6" r:id="rId4"/>
    <sheet name="HOR1 Model" sheetId="3" r:id="rId5"/>
    <sheet name="HOR1 Model experiment" sheetId="7" r:id="rId6"/>
    <sheet name="HOR2 Model" sheetId="8" r:id="rId7"/>
    <sheet name="MOORA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4" i="9" l="1"/>
  <c r="AC5" i="9"/>
  <c r="AC6" i="9"/>
  <c r="AC7" i="9"/>
  <c r="AC8" i="9"/>
  <c r="AC9" i="9"/>
  <c r="AC10" i="9"/>
  <c r="AC11" i="9"/>
  <c r="AC12" i="9"/>
  <c r="AC13" i="9"/>
  <c r="AC14" i="9"/>
  <c r="AC15" i="9"/>
  <c r="AC16" i="9"/>
  <c r="AC3" i="9"/>
  <c r="X4" i="9"/>
  <c r="X5" i="9"/>
  <c r="X6" i="9"/>
  <c r="X7" i="9"/>
  <c r="X8" i="9"/>
  <c r="X9" i="9"/>
  <c r="X10" i="9"/>
  <c r="X11" i="9"/>
  <c r="X12" i="9"/>
  <c r="X13" i="9"/>
  <c r="X14" i="9"/>
  <c r="X15" i="9"/>
  <c r="X16" i="9"/>
  <c r="X3" i="9"/>
  <c r="W4" i="9"/>
  <c r="W5" i="9"/>
  <c r="W6" i="9"/>
  <c r="W7" i="9"/>
  <c r="W8" i="9"/>
  <c r="W9" i="9"/>
  <c r="W10" i="9"/>
  <c r="W11" i="9"/>
  <c r="W12" i="9"/>
  <c r="W13" i="9"/>
  <c r="W14" i="9"/>
  <c r="W15" i="9"/>
  <c r="W16" i="9"/>
  <c r="W3" i="9"/>
  <c r="V4" i="9"/>
  <c r="V5" i="9"/>
  <c r="V6" i="9"/>
  <c r="V7" i="9"/>
  <c r="V8" i="9"/>
  <c r="V9" i="9"/>
  <c r="V10" i="9"/>
  <c r="V11" i="9"/>
  <c r="V12" i="9"/>
  <c r="V13" i="9"/>
  <c r="V14" i="9"/>
  <c r="V15" i="9"/>
  <c r="V16" i="9"/>
  <c r="V3" i="9"/>
  <c r="U4" i="9"/>
  <c r="U5" i="9"/>
  <c r="U6" i="9"/>
  <c r="U7" i="9"/>
  <c r="U8" i="9"/>
  <c r="U9" i="9"/>
  <c r="U10" i="9"/>
  <c r="U11" i="9"/>
  <c r="U12" i="9"/>
  <c r="U13" i="9"/>
  <c r="U14" i="9"/>
  <c r="U15" i="9"/>
  <c r="U16" i="9"/>
  <c r="U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3" i="9"/>
  <c r="D17" i="9"/>
  <c r="E17" i="9"/>
  <c r="F17" i="9"/>
  <c r="G17" i="9"/>
  <c r="C17" i="9"/>
  <c r="L6" i="9" s="1"/>
  <c r="T6" i="9" s="1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C20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C18" i="8"/>
  <c r="Q4" i="8" a="1"/>
  <c r="Q4" i="8" s="1"/>
  <c r="AE33" i="7"/>
  <c r="AE32" i="7"/>
  <c r="AE31" i="7"/>
  <c r="AE30" i="7"/>
  <c r="AE29" i="7"/>
  <c r="AE28" i="7"/>
  <c r="AE27" i="7"/>
  <c r="AE26" i="7"/>
  <c r="AE25" i="7"/>
  <c r="AE24" i="7"/>
  <c r="AE23" i="7"/>
  <c r="AE22" i="7"/>
  <c r="AE21" i="7"/>
  <c r="AE20" i="7"/>
  <c r="AE19" i="7"/>
  <c r="AE18" i="7"/>
  <c r="AE17" i="7"/>
  <c r="AE16" i="7"/>
  <c r="AE15" i="7"/>
  <c r="AE14" i="7"/>
  <c r="AE13" i="7"/>
  <c r="AE12" i="7"/>
  <c r="Z33" i="7"/>
  <c r="Y33" i="7"/>
  <c r="X33" i="7"/>
  <c r="AE11" i="7" s="1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AE10" i="7" s="1"/>
  <c r="AF10" i="7" s="1"/>
  <c r="H33" i="7"/>
  <c r="G33" i="7"/>
  <c r="F33" i="7"/>
  <c r="E33" i="7"/>
  <c r="D33" i="7"/>
  <c r="C33" i="7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10" i="3"/>
  <c r="AE34" i="3"/>
  <c r="AF13" i="3"/>
  <c r="AF14" i="3"/>
  <c r="AF15" i="3"/>
  <c r="AF16" i="3"/>
  <c r="AF17" i="3"/>
  <c r="AF18" i="3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12" i="3"/>
  <c r="AF11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C33" i="3"/>
  <c r="L11" i="9" l="1"/>
  <c r="T11" i="9" s="1"/>
  <c r="L5" i="9"/>
  <c r="T5" i="9" s="1"/>
  <c r="L4" i="9"/>
  <c r="T4" i="9" s="1"/>
  <c r="L3" i="9"/>
  <c r="T3" i="9" s="1"/>
  <c r="L16" i="9"/>
  <c r="T16" i="9" s="1"/>
  <c r="L15" i="9"/>
  <c r="T15" i="9" s="1"/>
  <c r="L14" i="9"/>
  <c r="T14" i="9" s="1"/>
  <c r="L13" i="9"/>
  <c r="T13" i="9" s="1"/>
  <c r="L12" i="9"/>
  <c r="T12" i="9" s="1"/>
  <c r="L10" i="9"/>
  <c r="T10" i="9" s="1"/>
  <c r="L9" i="9"/>
  <c r="T9" i="9" s="1"/>
  <c r="L8" i="9"/>
  <c r="T8" i="9" s="1"/>
  <c r="L7" i="9"/>
  <c r="T7" i="9" s="1"/>
  <c r="AF11" i="7"/>
  <c r="AF12" i="7" s="1"/>
  <c r="AF13" i="7" s="1"/>
  <c r="AE34" i="7"/>
  <c r="AB3" i="9" l="1" a="1"/>
  <c r="AF14" i="7"/>
  <c r="AB3" i="9" l="1"/>
  <c r="AD3" i="9" s="1"/>
  <c r="AD4" i="9"/>
  <c r="AD5" i="9"/>
  <c r="AD6" i="9"/>
  <c r="AD7" i="9"/>
  <c r="AD8" i="9"/>
  <c r="AD9" i="9"/>
  <c r="AD10" i="9"/>
  <c r="AD11" i="9"/>
  <c r="AD12" i="9"/>
  <c r="AD13" i="9"/>
  <c r="AD14" i="9"/>
  <c r="AD15" i="9"/>
  <c r="AD16" i="9"/>
  <c r="AF15" i="7"/>
  <c r="AF16" i="7" l="1"/>
  <c r="AF17" i="7" l="1"/>
  <c r="AF18" i="7" l="1"/>
  <c r="AF19" i="7" l="1"/>
  <c r="AF20" i="7" l="1"/>
  <c r="AF21" i="7" l="1"/>
  <c r="AF22" i="7" l="1"/>
  <c r="AF23" i="7" l="1"/>
  <c r="AF24" i="7" l="1"/>
  <c r="AF25" i="7" l="1"/>
  <c r="AF26" i="7" l="1"/>
  <c r="AF27" i="7" l="1"/>
  <c r="AF28" i="7" l="1"/>
  <c r="AF29" i="7" l="1"/>
  <c r="AF30" i="7" l="1"/>
  <c r="AF31" i="7" l="1"/>
  <c r="AF32" i="7" l="1"/>
  <c r="AF33" i="7" l="1"/>
  <c r="AG32" i="7" s="1"/>
  <c r="AG33" i="7" l="1"/>
  <c r="AG10" i="7"/>
  <c r="AG12" i="7"/>
  <c r="AG11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<sst xmlns="http://schemas.openxmlformats.org/spreadsheetml/2006/main" count="826" uniqueCount="232">
  <si>
    <t>Proses</t>
  </si>
  <si>
    <t>Risk Events</t>
  </si>
  <si>
    <t>Kode</t>
  </si>
  <si>
    <t>Si</t>
  </si>
  <si>
    <t>Plan</t>
  </si>
  <si>
    <t>Forecasting permintaan yang dilakukan kurang akurat</t>
  </si>
  <si>
    <t>E1</t>
  </si>
  <si>
    <t>Ketidaksesuaian perencanaan kebutuhan bahan baku</t>
  </si>
  <si>
    <t>Ketidaktepatan jumlah produksi</t>
  </si>
  <si>
    <t>Perubahan mendadak pada rencana produksi</t>
  </si>
  <si>
    <t>Selisih antara stok persediaan yang tercatat dengan aktual</t>
  </si>
  <si>
    <r>
      <t xml:space="preserve">Ketidaksesuaian jumlah bahan baku yang diterima dari </t>
    </r>
    <r>
      <rPr>
        <i/>
        <sz val="11"/>
        <color theme="1"/>
        <rFont val="Calibri"/>
        <family val="2"/>
        <scheme val="minor"/>
      </rPr>
      <t>supplier</t>
    </r>
  </si>
  <si>
    <t>Keterlambatan pengiriman bahan baku</t>
  </si>
  <si>
    <t>Kerusakan bahan baku saat diterima</t>
  </si>
  <si>
    <t>Kualitas bahan baku yang diterima tidak memenuhi standar</t>
  </si>
  <si>
    <t>Waktu produksi lebih lama dari standarnya</t>
  </si>
  <si>
    <t>Terjadi kecelakaan saat proses produksi</t>
  </si>
  <si>
    <t>Kualitas produk tidak konsisten</t>
  </si>
  <si>
    <t>Proses dan hasil produksi tidak memenuhi standar</t>
  </si>
  <si>
    <t>Bahan baku terlanjur basi sebelum diolah</t>
  </si>
  <si>
    <t>Kesalahan saat proses pengemasan produk</t>
  </si>
  <si>
    <t>Kesalahan penempelan label produk setengah jadi</t>
  </si>
  <si>
    <r>
      <t xml:space="preserve">Ketidaksesuaian jumlah produk setengah jadi yang diterima </t>
    </r>
    <r>
      <rPr>
        <i/>
        <sz val="11"/>
        <color theme="1"/>
        <rFont val="Calibri"/>
        <family val="2"/>
        <scheme val="minor"/>
      </rPr>
      <t>outlet</t>
    </r>
  </si>
  <si>
    <r>
      <t xml:space="preserve">Keterlambatan pengiriman produk setengah jadi ke </t>
    </r>
    <r>
      <rPr>
        <i/>
        <sz val="11"/>
        <color theme="1"/>
        <rFont val="Calibri"/>
        <family val="2"/>
        <scheme val="minor"/>
      </rPr>
      <t>outlet</t>
    </r>
  </si>
  <si>
    <r>
      <t xml:space="preserve">Kesalahan pesanan </t>
    </r>
    <r>
      <rPr>
        <i/>
        <sz val="11"/>
        <color theme="1"/>
        <rFont val="Calibri"/>
        <family val="2"/>
        <scheme val="minor"/>
      </rPr>
      <t>customer</t>
    </r>
  </si>
  <si>
    <r>
      <t xml:space="preserve">Keterlambatan memenuhi pesanan </t>
    </r>
    <r>
      <rPr>
        <i/>
        <sz val="11"/>
        <color theme="1"/>
        <rFont val="Calibri"/>
        <family val="2"/>
        <scheme val="minor"/>
      </rPr>
      <t>customer</t>
    </r>
  </si>
  <si>
    <r>
      <t xml:space="preserve">Peningkatan jumlah komplain </t>
    </r>
    <r>
      <rPr>
        <i/>
        <sz val="11"/>
        <color theme="1"/>
        <rFont val="Calibri"/>
        <family val="2"/>
        <scheme val="minor"/>
      </rPr>
      <t>customer</t>
    </r>
  </si>
  <si>
    <r>
      <t xml:space="preserve">Terjadi </t>
    </r>
    <r>
      <rPr>
        <i/>
        <sz val="11"/>
        <color theme="1"/>
        <rFont val="Calibri"/>
        <family val="2"/>
        <scheme val="minor"/>
      </rPr>
      <t xml:space="preserve">refund </t>
    </r>
    <r>
      <rPr>
        <sz val="11"/>
        <color theme="1"/>
        <rFont val="Calibri"/>
        <family val="2"/>
        <scheme val="minor"/>
      </rPr>
      <t>produk</t>
    </r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</si>
  <si>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</si>
  <si>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</si>
  <si>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</si>
  <si>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</si>
  <si>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</si>
  <si>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</si>
  <si>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</si>
  <si>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</si>
  <si>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</si>
  <si>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</si>
  <si>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</si>
  <si>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</si>
  <si>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</si>
  <si>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</si>
  <si>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</si>
  <si>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</si>
  <si>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</si>
  <si>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</si>
  <si>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</si>
  <si>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</si>
  <si>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</si>
  <si>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Source</t>
  </si>
  <si>
    <t>Make</t>
  </si>
  <si>
    <t>Deliver</t>
  </si>
  <si>
    <t>Return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</si>
  <si>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</si>
  <si>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</si>
  <si>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</si>
  <si>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</si>
  <si>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</si>
  <si>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</si>
  <si>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</si>
  <si>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</si>
  <si>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</si>
  <si>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</si>
  <si>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</si>
  <si>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</si>
  <si>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</si>
  <si>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</si>
  <si>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</si>
  <si>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</si>
  <si>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</si>
  <si>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</si>
  <si>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</si>
  <si>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</si>
  <si>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</si>
  <si>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</si>
  <si>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</si>
  <si>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</si>
  <si>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Oi</t>
  </si>
  <si>
    <t>ARP</t>
  </si>
  <si>
    <t>Priority Rank</t>
  </si>
  <si>
    <t>Risk Agents</t>
  </si>
  <si>
    <t>Risk Agents (Aj)</t>
  </si>
  <si>
    <t>Business Processes</t>
  </si>
  <si>
    <t>Risk Events (Ei)</t>
  </si>
  <si>
    <t>Nilai 0 : Tidak ada hubungan</t>
  </si>
  <si>
    <t>Nilai 1 : Hubungan lemah</t>
  </si>
  <si>
    <t>Nilai 3: Hubungan sedang</t>
  </si>
  <si>
    <t>Nilai 9: Hubungan kuat</t>
  </si>
  <si>
    <t>Tingkat korelasi atau hubungan dikelompokkan menjadi: ( (Pujawan dan Geraldin, 2009)</t>
  </si>
  <si>
    <r>
      <t xml:space="preserve">Perhitungan nilai korelasi (hubungan) antara </t>
    </r>
    <r>
      <rPr>
        <b/>
        <i/>
        <sz val="14"/>
        <color theme="1"/>
        <rFont val="Calibri"/>
        <family val="2"/>
        <scheme val="minor"/>
      </rPr>
      <t xml:space="preserve">risk events </t>
    </r>
    <r>
      <rPr>
        <b/>
        <sz val="14"/>
        <color theme="1"/>
        <rFont val="Calibri"/>
        <family val="2"/>
        <scheme val="minor"/>
      </rPr>
      <t xml:space="preserve">dan </t>
    </r>
    <r>
      <rPr>
        <b/>
        <i/>
        <sz val="14"/>
        <color theme="1"/>
        <rFont val="Calibri"/>
        <family val="2"/>
        <scheme val="minor"/>
      </rPr>
      <t>risk agents</t>
    </r>
  </si>
  <si>
    <t>HOR 1 Model</t>
  </si>
  <si>
    <r>
      <t xml:space="preserve">Metode </t>
    </r>
    <r>
      <rPr>
        <i/>
        <sz val="11"/>
        <color theme="1"/>
        <rFont val="Calibri"/>
        <family val="2"/>
        <scheme val="minor"/>
      </rPr>
      <t xml:space="preserve">forecasting </t>
    </r>
    <r>
      <rPr>
        <sz val="11"/>
        <color theme="1"/>
        <rFont val="Calibri"/>
        <family val="2"/>
        <scheme val="minor"/>
      </rPr>
      <t>yang dilakukan masih kurang tepat</t>
    </r>
  </si>
  <si>
    <r>
      <t xml:space="preserve">Miskomunikasi antara </t>
    </r>
    <r>
      <rPr>
        <i/>
        <sz val="11"/>
        <color theme="1"/>
        <rFont val="Calibri"/>
        <family val="2"/>
        <scheme val="minor"/>
      </rPr>
      <t xml:space="preserve">outlet </t>
    </r>
    <r>
      <rPr>
        <sz val="11"/>
        <color theme="1"/>
        <rFont val="Calibri"/>
        <family val="2"/>
        <scheme val="minor"/>
      </rPr>
      <t xml:space="preserve">dan </t>
    </r>
    <r>
      <rPr>
        <i/>
        <sz val="11"/>
        <color theme="1"/>
        <rFont val="Calibri"/>
        <family val="2"/>
        <scheme val="minor"/>
      </rPr>
      <t>central kitchen</t>
    </r>
  </si>
  <si>
    <t xml:space="preserve">Kesalahan perhitungan kebutuhan bahan baku </t>
  </si>
  <si>
    <r>
      <t xml:space="preserve">Fluktuasi permintaan </t>
    </r>
    <r>
      <rPr>
        <i/>
        <sz val="11"/>
        <color theme="1"/>
        <rFont val="Calibri"/>
        <family val="2"/>
        <scheme val="minor"/>
      </rPr>
      <t xml:space="preserve">customer </t>
    </r>
    <r>
      <rPr>
        <sz val="11"/>
        <color theme="1"/>
        <rFont val="Calibri"/>
        <family val="2"/>
        <scheme val="minor"/>
      </rPr>
      <t>yang tinggi</t>
    </r>
  </si>
  <si>
    <r>
      <t xml:space="preserve">Tidak adanya perhitungan </t>
    </r>
    <r>
      <rPr>
        <i/>
        <sz val="11"/>
        <color theme="1"/>
        <rFont val="Calibri"/>
        <family val="2"/>
        <scheme val="minor"/>
      </rPr>
      <t xml:space="preserve">Safety Stock </t>
    </r>
    <r>
      <rPr>
        <sz val="11"/>
        <color theme="1"/>
        <rFont val="Calibri"/>
        <family val="2"/>
        <scheme val="minor"/>
      </rPr>
      <t>(SS) yang akurat untuk fluktuasi permintaan</t>
    </r>
  </si>
  <si>
    <r>
      <t>Kesalahan penentuan titik pemesanan ulang (</t>
    </r>
    <r>
      <rPr>
        <i/>
        <sz val="11"/>
        <color theme="1"/>
        <rFont val="Calibri"/>
        <family val="2"/>
        <scheme val="minor"/>
      </rPr>
      <t>Reorder Point)</t>
    </r>
  </si>
  <si>
    <r>
      <t xml:space="preserve">Stok bahan baku dari </t>
    </r>
    <r>
      <rPr>
        <i/>
        <sz val="11"/>
        <color theme="1"/>
        <rFont val="Calibri"/>
        <family val="2"/>
        <scheme val="minor"/>
      </rPr>
      <t xml:space="preserve">supplier </t>
    </r>
    <r>
      <rPr>
        <sz val="11"/>
        <color theme="1"/>
        <rFont val="Calibri"/>
        <family val="2"/>
        <scheme val="minor"/>
      </rPr>
      <t>seringkali kosong</t>
    </r>
  </si>
  <si>
    <t>Kemacetan jalan</t>
  </si>
  <si>
    <t>Kondisi cuaca ekstrem</t>
  </si>
  <si>
    <r>
      <t xml:space="preserve">Tidak dilakukan evaluasi </t>
    </r>
    <r>
      <rPr>
        <i/>
        <sz val="11"/>
        <color theme="1"/>
        <rFont val="Calibri"/>
        <family val="2"/>
        <scheme val="minor"/>
      </rPr>
      <t xml:space="preserve">supplier </t>
    </r>
    <r>
      <rPr>
        <sz val="11"/>
        <color theme="1"/>
        <rFont val="Calibri"/>
        <family val="2"/>
        <scheme val="minor"/>
      </rPr>
      <t>secara berkala</t>
    </r>
  </si>
  <si>
    <t>Kurangnya pelatihan keterampilan tenaga kerja</t>
  </si>
  <si>
    <t>Ketidakpatuhan tenaga kerja terhadap SOP yang ditentukan</t>
  </si>
  <si>
    <t>Kerusakan alat produksi</t>
  </si>
  <si>
    <t>Ketidaktelitian tenaga kerja saat proses produksi</t>
  </si>
  <si>
    <t>Lemahnya pengawasan kualitas di area produksi</t>
  </si>
  <si>
    <t>Sistem manajemen penyimpanan belum maksimal</t>
  </si>
  <si>
    <t>Kesalahan pengoperasian alat produksi</t>
  </si>
  <si>
    <t>Tidak adanya sistem identifikasi produk secara otomatis</t>
  </si>
  <si>
    <t>Kesalahan pencatatan distribusi produk setengah jadi</t>
  </si>
  <si>
    <t>Jarak tempuh yang jauh</t>
  </si>
  <si>
    <r>
      <t xml:space="preserve">Human error </t>
    </r>
    <r>
      <rPr>
        <sz val="11"/>
        <color theme="1"/>
        <rFont val="Calibri"/>
        <family val="2"/>
        <scheme val="minor"/>
      </rPr>
      <t>saat menerima pesanan</t>
    </r>
  </si>
  <si>
    <r>
      <t xml:space="preserve">Beban kerja tinggi terutama saat </t>
    </r>
    <r>
      <rPr>
        <i/>
        <sz val="11"/>
        <color theme="1"/>
        <rFont val="Calibri"/>
        <family val="2"/>
        <scheme val="minor"/>
      </rPr>
      <t>peak hour</t>
    </r>
  </si>
  <si>
    <t>Standar pelayanan yang kurang</t>
  </si>
  <si>
    <r>
      <t xml:space="preserve">Kesalahan produk yang diterima </t>
    </r>
    <r>
      <rPr>
        <i/>
        <sz val="11"/>
        <color theme="1"/>
        <rFont val="Calibri"/>
        <family val="2"/>
        <scheme val="minor"/>
      </rPr>
      <t>customer</t>
    </r>
  </si>
  <si>
    <r>
      <t>Penilaian Frekuensi Terjadinya Risiko (</t>
    </r>
    <r>
      <rPr>
        <b/>
        <i/>
        <sz val="11"/>
        <color theme="1"/>
        <rFont val="Calibri"/>
        <family val="2"/>
        <scheme val="minor"/>
      </rPr>
      <t>Occurence</t>
    </r>
    <r>
      <rPr>
        <b/>
        <sz val="11"/>
        <color theme="1"/>
        <rFont val="Calibri"/>
        <family val="2"/>
        <scheme val="minor"/>
      </rPr>
      <t>) Terhadap</t>
    </r>
    <r>
      <rPr>
        <b/>
        <i/>
        <sz val="11"/>
        <color theme="1"/>
        <rFont val="Calibri"/>
        <family val="2"/>
        <scheme val="minor"/>
      </rPr>
      <t xml:space="preserve"> Risk Agents </t>
    </r>
    <r>
      <rPr>
        <b/>
        <sz val="11"/>
        <color theme="1"/>
        <rFont val="Calibri"/>
        <family val="2"/>
        <scheme val="minor"/>
      </rPr>
      <t>Ramen X</t>
    </r>
  </si>
  <si>
    <r>
      <t>Penilaian Tingkat Dampak Risiko (</t>
    </r>
    <r>
      <rPr>
        <b/>
        <i/>
        <sz val="11"/>
        <color theme="1"/>
        <rFont val="Calibri"/>
        <family val="2"/>
        <scheme val="minor"/>
      </rPr>
      <t>Severity</t>
    </r>
    <r>
      <rPr>
        <b/>
        <sz val="11"/>
        <color theme="1"/>
        <rFont val="Calibri"/>
        <family val="2"/>
        <scheme val="minor"/>
      </rPr>
      <t xml:space="preserve">) Terhadap </t>
    </r>
    <r>
      <rPr>
        <b/>
        <i/>
        <sz val="11"/>
        <color theme="1"/>
        <rFont val="Calibri"/>
        <family val="2"/>
        <scheme val="minor"/>
      </rPr>
      <t>Risk Events</t>
    </r>
    <r>
      <rPr>
        <b/>
        <sz val="11"/>
        <color theme="1"/>
        <rFont val="Calibri"/>
        <family val="2"/>
        <scheme val="minor"/>
      </rPr>
      <t xml:space="preserve"> Ramen X</t>
    </r>
  </si>
  <si>
    <r>
      <t xml:space="preserve">Selamat pagi/siang/sore/malam, Bapak Ibu yang saya hormati.                                                           Perkenalkan saya Elena C mahasiswi Teknik Industri Universitas Tarumanagara yang saat ini sedang menempuh skripsi yang berfokus pada analisis dan mitigasi risiko rantai pasok berbasis SCOR 12.0 dan metode HOR-MOORA dengan studi kasus pada perusahaan makanan Ramen X.                                  Pada kesempatan ini, mohon izin kepada Bapak/Ibu untuk dapat melakukan pengisian penilaian yang akan digunakan dalam penelitian. Pengisian ini bertujuan untuk melakukan penilaian terhadap frekuensi </t>
    </r>
    <r>
      <rPr>
        <i/>
        <sz val="10"/>
        <color theme="1"/>
        <rFont val="Calibri"/>
        <family val="2"/>
        <scheme val="minor"/>
      </rPr>
      <t>occurence</t>
    </r>
    <r>
      <rPr>
        <sz val="10"/>
        <color theme="1"/>
        <rFont val="Calibri"/>
        <family val="2"/>
        <scheme val="minor"/>
      </rPr>
      <t xml:space="preserve"> risiko aktivitas supply chain terhadap operasional Ramen X.                                                  Adapun, berikan penilaian terhadap frekuensi terjadinya setiap penyebab risiko (</t>
    </r>
    <r>
      <rPr>
        <i/>
        <sz val="10"/>
        <color theme="1"/>
        <rFont val="Calibri"/>
        <family val="2"/>
        <scheme val="minor"/>
      </rPr>
      <t>risk agent</t>
    </r>
    <r>
      <rPr>
        <sz val="10"/>
        <color theme="1"/>
        <rFont val="Calibri"/>
        <family val="2"/>
        <scheme val="minor"/>
      </rPr>
      <t>s) terhadap kejadian risiko (</t>
    </r>
    <r>
      <rPr>
        <i/>
        <sz val="10"/>
        <color theme="1"/>
        <rFont val="Calibri"/>
        <family val="2"/>
        <scheme val="minor"/>
      </rPr>
      <t>risk events</t>
    </r>
    <r>
      <rPr>
        <sz val="10"/>
        <color theme="1"/>
        <rFont val="Calibri"/>
        <family val="2"/>
        <scheme val="minor"/>
      </rPr>
      <t xml:space="preserve">) yang berdampak terhadap operasional Ramen X.  Penilaian dilakukan menggunakan skala 1-10 sesuai dengan model House of Risk (Pujawan dan Geraldin, 2009), yang mana rincian kriteria penilaian </t>
    </r>
    <r>
      <rPr>
        <i/>
        <sz val="10"/>
        <color theme="1"/>
        <rFont val="Calibri"/>
        <family val="2"/>
        <scheme val="minor"/>
      </rPr>
      <t>occurence</t>
    </r>
    <r>
      <rPr>
        <sz val="10"/>
        <color theme="1"/>
        <rFont val="Calibri"/>
        <family val="2"/>
        <scheme val="minor"/>
      </rPr>
      <t xml:space="preserve"> mengadopsi skala yang dikembangkan oleh Shahin (2004) sebagai berikut:
1 = Almost Never (hampir tidak pernah)
2 = Remote (sangat jarang)
3 = Very Slight (jarang)
4 = Slight (kemungkinan kecil)
5 = Low (rendah)
6 = Medium (sedang)
7 = Moderately High (cukup sering)
8 = High (sering)
9 = Very High (sangat sering)
10 = Almost Certain (hampir selalu)</t>
    </r>
  </si>
  <si>
    <r>
      <t xml:space="preserve">Selamat pagi/siang/sore/malam, Bapak Ibu yang saya hormati.                                                           Perkenalkan saya Elena C mahasiswi Teknik Industri Universitas Tarumanagara yang saat ini sedang menempuh skripsi yang berfokus pada analisis dan mitigasi risiko rantai pasok berbasis SCOR 12.0 dan metode HOR-MOORA dengan studi kasus pada perusahaan makanan Ramen X.                                  Pada kesempatan ini, mohon izin kepada Bapak/Ibu untuk dapat melakukan pengisian penilaian yang akan digunakan dalam penelitian. Pengisian ini bertujuan untuk melakukan penilaian terhadap tingkat </t>
    </r>
    <r>
      <rPr>
        <i/>
        <sz val="10"/>
        <color theme="1"/>
        <rFont val="Calibri"/>
        <family val="2"/>
        <scheme val="minor"/>
      </rPr>
      <t xml:space="preserve">severity </t>
    </r>
    <r>
      <rPr>
        <sz val="10"/>
        <color theme="1"/>
        <rFont val="Calibri"/>
        <family val="2"/>
        <scheme val="minor"/>
      </rPr>
      <t>risiko aktivitas supply chain terhadap operasional Ramen X.                                                  Adapun, berikan penilaian terhadap setiap kejadian risiko (</t>
    </r>
    <r>
      <rPr>
        <i/>
        <sz val="10"/>
        <color theme="1"/>
        <rFont val="Calibri"/>
        <family val="2"/>
        <scheme val="minor"/>
      </rPr>
      <t>risk events</t>
    </r>
    <r>
      <rPr>
        <sz val="10"/>
        <color theme="1"/>
        <rFont val="Calibri"/>
        <family val="2"/>
        <scheme val="minor"/>
      </rPr>
      <t>) yang berdampak terhadap operasional Ramen X.  Penilaian dilakukan menggunakan skala 1-10 sesuai dengan model House of Risk (Pujawan dan Geraldin, 2009), yang mana rincian kriteria penilaian</t>
    </r>
    <r>
      <rPr>
        <i/>
        <sz val="10"/>
        <color theme="1"/>
        <rFont val="Calibri"/>
        <family val="2"/>
        <scheme val="minor"/>
      </rPr>
      <t xml:space="preserve"> severity</t>
    </r>
    <r>
      <rPr>
        <sz val="10"/>
        <color theme="1"/>
        <rFont val="Calibri"/>
        <family val="2"/>
        <scheme val="minor"/>
      </rPr>
      <t xml:space="preserve"> mengadopsi skala yang dikembangkan oleh Shahin (2004) sebagai berikut:
1 = No (tidak berdampak)
2 = Very Slight (sangat kecil)
3 = Slight (kecil)
4 = Minor (ringan)
5 = Moderate (sedang)
6 = Significant (cukup besar)
7 = Major (besar)
8 = Extreme (sangat besar) 
9 = Serious (serius)
10 = Hazardous (sangat berbahaya)</t>
    </r>
  </si>
  <si>
    <t>pak thoriq</t>
  </si>
  <si>
    <t>dampak plg parah:</t>
  </si>
  <si>
    <t>forecasting kl sampe ga akurat itu repot</t>
  </si>
  <si>
    <t>itu manual pake excel, terus data dari app accurate diolah ke excel</t>
  </si>
  <si>
    <t>kesalahan penempelan label</t>
  </si>
  <si>
    <t xml:space="preserve">dipisahin dari awal pas produksi, terus minta admin labelnya </t>
  </si>
  <si>
    <t>masih manual belum ada sistem scan</t>
  </si>
  <si>
    <t>terutama di luar kota (laut) karena hujan besar dll</t>
  </si>
  <si>
    <t>ket</t>
  </si>
  <si>
    <r>
      <t xml:space="preserve">permintaan kita ke suppler yg dibatasi, karena supplier punya bbrp client jg. Cara pt. snn menangani kasus ini lgsg menghubungi </t>
    </r>
    <r>
      <rPr>
        <i/>
        <sz val="11"/>
        <color theme="1"/>
        <rFont val="Calibri"/>
        <family val="2"/>
        <scheme val="minor"/>
      </rPr>
      <t>supplier</t>
    </r>
  </si>
  <si>
    <t>karena penyimpanan terbatas jd kadang kl produksi itu jd dibatasi</t>
  </si>
  <si>
    <t>plg pengaruh kedua di source</t>
  </si>
  <si>
    <t>plg pengaruh pertama di source</t>
  </si>
  <si>
    <t>pernah sekali di CK cengkareng</t>
  </si>
  <si>
    <t xml:space="preserve">supplier: bahan2 utama, kyk minyak ada 3 supplier, </t>
  </si>
  <si>
    <t>ketidaktepatan jumlah produksi</t>
  </si>
  <si>
    <t>dari segi demand ada kendala</t>
  </si>
  <si>
    <t>plg sering terjadi:</t>
  </si>
  <si>
    <t>tidak adanya perhitungan SS</t>
  </si>
  <si>
    <t>target nya mau 75% - 85% (biasanya di angka 97%)</t>
  </si>
  <si>
    <t>bahan kosong dari supplier</t>
  </si>
  <si>
    <t xml:space="preserve">telor itu plg sering kosong terutama saat peak season, kyk lebaran atau natal. </t>
  </si>
  <si>
    <t>standar pelayanan</t>
  </si>
  <si>
    <t xml:space="preserve">ada 12 tahapan training, dari salam dll untuk karyawan outlet dan untuk karyawan kitchen itu ada 3 tahapan. Baru lanjut assessment </t>
  </si>
  <si>
    <t>base on condition, ga menentu tergantung kondisi. Biasa sebulan bisa 5-8 supplier</t>
  </si>
  <si>
    <t>karena kurang teliti (human error)</t>
  </si>
  <si>
    <t>CK dapur</t>
  </si>
  <si>
    <t>11 org</t>
  </si>
  <si>
    <t>Produk setengah jadi</t>
  </si>
  <si>
    <t>bumbu</t>
  </si>
  <si>
    <t>dari supplier ke CK</t>
  </si>
  <si>
    <t>ga lgsg kirim ke outlet krn kuantiti dari supplier harus terpenuhi (misal 1 ton)</t>
  </si>
  <si>
    <t>daging, minyak, beras, barang" take away</t>
  </si>
  <si>
    <t>dari supplier ke outlet</t>
  </si>
  <si>
    <t>telur, sayuran, salmon</t>
  </si>
  <si>
    <t>data penjualan pake ESB</t>
  </si>
  <si>
    <t xml:space="preserve">misal udh terforecast ni brp brp brp, karena penyimpanan terbatas atau berlebih, </t>
  </si>
  <si>
    <t>kesalahan pesanan customer</t>
  </si>
  <si>
    <t>customer minta A tp salah tulis malah minta B</t>
  </si>
  <si>
    <t>Risk Agent</t>
  </si>
  <si>
    <t>Cumulative ARP</t>
  </si>
  <si>
    <t>Cumulative %</t>
  </si>
  <si>
    <t>total</t>
  </si>
  <si>
    <t>Aj</t>
  </si>
  <si>
    <t>Aksi Mitigasi</t>
  </si>
  <si>
    <t>PAk</t>
  </si>
  <si>
    <t>PA1</t>
  </si>
  <si>
    <t>PA2</t>
  </si>
  <si>
    <t>PA3</t>
  </si>
  <si>
    <t>PA4</t>
  </si>
  <si>
    <t>PA5</t>
  </si>
  <si>
    <t>PA6</t>
  </si>
  <si>
    <t>PA7</t>
  </si>
  <si>
    <t>PA8</t>
  </si>
  <si>
    <t>PA9</t>
  </si>
  <si>
    <t>PA10</t>
  </si>
  <si>
    <t>PA11</t>
  </si>
  <si>
    <t>PA12</t>
  </si>
  <si>
    <t>PA13</t>
  </si>
  <si>
    <t>PA14</t>
  </si>
  <si>
    <r>
      <t xml:space="preserve">Menggunakan sistem </t>
    </r>
    <r>
      <rPr>
        <i/>
        <sz val="11"/>
        <color theme="1"/>
        <rFont val="Calibri"/>
        <family val="2"/>
        <scheme val="minor"/>
      </rPr>
      <t xml:space="preserve">checklist </t>
    </r>
    <r>
      <rPr>
        <sz val="11"/>
        <color theme="1"/>
        <rFont val="Calibri"/>
        <family val="2"/>
        <scheme val="minor"/>
      </rPr>
      <t>kerja saat proses produksi</t>
    </r>
  </si>
  <si>
    <t>Menerapkan sistem penyimpanan FIFO dan pelabelan bahan</t>
  </si>
  <si>
    <t>Menggunakan sistem pencatatan distribusi secara digital</t>
  </si>
  <si>
    <t>Menetapkan standar kebutuhan bahan baku (BOM)</t>
  </si>
  <si>
    <t>Melakukan verifikasi pesanan sebelum diproses</t>
  </si>
  <si>
    <r>
      <t xml:space="preserve">Meningkatkan pengawasan SOP dan menetapkan sistem </t>
    </r>
    <r>
      <rPr>
        <i/>
        <sz val="11"/>
        <color theme="1"/>
        <rFont val="Calibri"/>
        <family val="2"/>
        <scheme val="minor"/>
      </rPr>
      <t>reward &amp; punishment</t>
    </r>
  </si>
  <si>
    <t>Monitoring stok harian berbasis ROP = cek stok setiap hari dan bandingkan dengan batas minimum (ROP) untuk menentukan kapan harus pesan ulang</t>
  </si>
  <si>
    <r>
      <t xml:space="preserve">Mengatur distribusi permintaan </t>
    </r>
    <r>
      <rPr>
        <i/>
        <sz val="11"/>
        <color theme="1"/>
        <rFont val="Calibri"/>
        <family val="2"/>
        <scheme val="minor"/>
      </rPr>
      <t xml:space="preserve">customer </t>
    </r>
    <r>
      <rPr>
        <sz val="11"/>
        <color theme="1"/>
        <rFont val="Calibri"/>
        <family val="2"/>
        <scheme val="minor"/>
      </rPr>
      <t xml:space="preserve">dengan promo atau paket </t>
    </r>
    <r>
      <rPr>
        <i/>
        <sz val="11"/>
        <color theme="1"/>
        <rFont val="Calibri"/>
        <family val="2"/>
        <scheme val="minor"/>
      </rPr>
      <t>bundling</t>
    </r>
  </si>
  <si>
    <r>
      <t xml:space="preserve">Menetapkan sistem </t>
    </r>
    <r>
      <rPr>
        <i/>
        <sz val="11"/>
        <color theme="1"/>
        <rFont val="Calibri"/>
        <family val="2"/>
        <scheme val="minor"/>
      </rPr>
      <t>monitoring</t>
    </r>
    <r>
      <rPr>
        <sz val="11"/>
        <color theme="1"/>
        <rFont val="Calibri"/>
        <family val="2"/>
        <scheme val="minor"/>
      </rPr>
      <t xml:space="preserve"> harian berbasis ROP dan </t>
    </r>
    <r>
      <rPr>
        <i/>
        <sz val="11"/>
        <color theme="1"/>
        <rFont val="Calibri"/>
        <family val="2"/>
        <scheme val="minor"/>
      </rPr>
      <t xml:space="preserve">supplier </t>
    </r>
    <r>
      <rPr>
        <sz val="11"/>
        <color theme="1"/>
        <rFont val="Calibri"/>
        <family val="2"/>
        <scheme val="minor"/>
      </rPr>
      <t>cadangan</t>
    </r>
  </si>
  <si>
    <r>
      <t xml:space="preserve">Melakukan </t>
    </r>
    <r>
      <rPr>
        <i/>
        <sz val="11"/>
        <color theme="1"/>
        <rFont val="Calibri"/>
        <family val="2"/>
        <scheme val="minor"/>
      </rPr>
      <t xml:space="preserve">shift planning </t>
    </r>
    <r>
      <rPr>
        <sz val="11"/>
        <color theme="1"/>
        <rFont val="Calibri"/>
        <family val="2"/>
        <scheme val="minor"/>
      </rPr>
      <t>(menambah tenaga kerja atau menyusun jadwal kerja) berdasarkan pola permintaan</t>
    </r>
  </si>
  <si>
    <r>
      <t xml:space="preserve">Menentukan SS berdasarkan data permintaan &amp; pemakaian yang akurat (fokus terutama bahan </t>
    </r>
    <r>
      <rPr>
        <i/>
        <sz val="11"/>
        <color theme="1"/>
        <rFont val="Calibri"/>
        <family val="2"/>
        <scheme val="minor"/>
      </rPr>
      <t>fast-moving</t>
    </r>
    <r>
      <rPr>
        <sz val="11"/>
        <color theme="1"/>
        <rFont val="Calibri"/>
        <family val="2"/>
        <scheme val="minor"/>
      </rPr>
      <t>)</t>
    </r>
  </si>
  <si>
    <r>
      <t xml:space="preserve">Melakukan evaluasi bulanan kinerja </t>
    </r>
    <r>
      <rPr>
        <i/>
        <sz val="11"/>
        <color theme="1"/>
        <rFont val="Calibri"/>
        <family val="2"/>
        <scheme val="minor"/>
      </rPr>
      <t xml:space="preserve">supplier </t>
    </r>
    <r>
      <rPr>
        <sz val="11"/>
        <color theme="1"/>
        <rFont val="Calibri"/>
        <family val="2"/>
        <scheme val="minor"/>
      </rPr>
      <t xml:space="preserve">(KPI) </t>
    </r>
  </si>
  <si>
    <r>
      <t xml:space="preserve">Menentukan PIC pengecekan dan menggunakan sistem </t>
    </r>
    <r>
      <rPr>
        <i/>
        <sz val="11"/>
        <color theme="1"/>
        <rFont val="Calibri"/>
        <family val="2"/>
        <scheme val="minor"/>
      </rPr>
      <t xml:space="preserve">checklist </t>
    </r>
    <r>
      <rPr>
        <sz val="11"/>
        <color theme="1"/>
        <rFont val="Calibri"/>
        <family val="2"/>
        <scheme val="minor"/>
      </rPr>
      <t>untuk pengawasan</t>
    </r>
  </si>
  <si>
    <t>Menetapkan SOP pelayanan yang jelas dan memantau standar pelayanan bulanan (KPI)</t>
  </si>
  <si>
    <r>
      <t xml:space="preserve">Melakukan </t>
    </r>
    <r>
      <rPr>
        <i/>
        <sz val="11"/>
        <color theme="1"/>
        <rFont val="Calibri"/>
        <family val="2"/>
        <scheme val="minor"/>
      </rPr>
      <t xml:space="preserve">training </t>
    </r>
    <r>
      <rPr>
        <sz val="11"/>
        <color theme="1"/>
        <rFont val="Calibri"/>
        <family val="2"/>
        <scheme val="minor"/>
      </rPr>
      <t>khusus dan evaluasi keterampilan bekerja bulanan</t>
    </r>
  </si>
  <si>
    <t>Preventive Action</t>
  </si>
  <si>
    <t>Risk Agent (Aj)</t>
  </si>
  <si>
    <t>ARPj</t>
  </si>
  <si>
    <t>TEk</t>
  </si>
  <si>
    <t>Dk</t>
  </si>
  <si>
    <t>ETDk</t>
  </si>
  <si>
    <t>Rk</t>
  </si>
  <si>
    <t>Preventive Action (PAk)</t>
  </si>
  <si>
    <t>Rank</t>
  </si>
  <si>
    <r>
      <t xml:space="preserve">Melakukan </t>
    </r>
    <r>
      <rPr>
        <i/>
        <sz val="11"/>
        <color theme="1"/>
        <rFont val="Calibri"/>
        <family val="2"/>
        <scheme val="minor"/>
      </rPr>
      <t>shift planning</t>
    </r>
    <r>
      <rPr>
        <sz val="11"/>
        <color theme="1"/>
        <rFont val="Calibri"/>
        <family val="2"/>
        <scheme val="minor"/>
      </rPr>
      <t xml:space="preserve"> berdasarkan pola permintaan</t>
    </r>
  </si>
  <si>
    <t>Criteria Code</t>
  </si>
  <si>
    <t>C1</t>
  </si>
  <si>
    <t>C2</t>
  </si>
  <si>
    <t>C3</t>
  </si>
  <si>
    <t>C4</t>
  </si>
  <si>
    <t>C5</t>
  </si>
  <si>
    <t>Instruksi Penilaian</t>
  </si>
  <si>
    <t>The assigned weights for each sub-criterion were based on a range value from 1 to 4, depending on the experts' assessment of how each action fits within the specified criteria.</t>
  </si>
  <si>
    <t>Criteria</t>
  </si>
  <si>
    <t>Range Value</t>
  </si>
  <si>
    <t>Weight Value</t>
  </si>
  <si>
    <t>Code</t>
  </si>
  <si>
    <t>Actions easy to implement</t>
  </si>
  <si>
    <t>0-25</t>
  </si>
  <si>
    <t>26-50</t>
  </si>
  <si>
    <t>51-75</t>
  </si>
  <si>
    <t>76-100</t>
  </si>
  <si>
    <t>Actions do not disrupt operational procedures</t>
  </si>
  <si>
    <t>Actions have an impact on enhancing productivity</t>
  </si>
  <si>
    <t>Risks can be reduced by action</t>
  </si>
  <si>
    <t>Actions can help to improve the company's work culture</t>
  </si>
  <si>
    <t>pembagi</t>
  </si>
  <si>
    <t>Optimum</t>
  </si>
  <si>
    <t>Min</t>
  </si>
  <si>
    <t>Max</t>
  </si>
  <si>
    <t>Cost</t>
  </si>
  <si>
    <t>Benefit</t>
  </si>
  <si>
    <t>Yi =     Max -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</si>
</sst>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5" fillId="0" borderId="0" xfId="0" applyFont="1" applyAlignment="1">
      <alignment horizontal="left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1" xfId="0" applyFill="1" applyBorder="1"/>
    <xf numFmtId="164" fontId="0" fillId="0" borderId="1" xfId="1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1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left" wrapText="1"/>
    </xf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D" b="0"/>
              <a:t>Diagram Pareto </a:t>
            </a:r>
            <a:r>
              <a:rPr lang="en-ID" b="0" i="1"/>
              <a:t>Risk Agent</a:t>
            </a:r>
            <a:endParaRPr lang="en-ID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'HOR1 Model'!$AE$8</c:f>
              <c:strCache>
                <c:ptCount val="1"/>
                <c:pt idx="0">
                  <c:v>ARP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'HOR1 Model'!$AD$9:$AD$33</c:f>
              <c:strCache>
                <c:ptCount val="25"/>
                <c:pt idx="1">
                  <c:v>A7</c:v>
                </c:pt>
                <c:pt idx="2">
                  <c:v>A22</c:v>
                </c:pt>
                <c:pt idx="3">
                  <c:v>A5</c:v>
                </c:pt>
                <c:pt idx="4">
                  <c:v>A10</c:v>
                </c:pt>
                <c:pt idx="5">
                  <c:v>A14</c:v>
                </c:pt>
                <c:pt idx="6">
                  <c:v>A15</c:v>
                </c:pt>
                <c:pt idx="7">
                  <c:v>A16</c:v>
                </c:pt>
                <c:pt idx="8">
                  <c:v>A23</c:v>
                </c:pt>
                <c:pt idx="9">
                  <c:v>A11</c:v>
                </c:pt>
                <c:pt idx="10">
                  <c:v>A19</c:v>
                </c:pt>
                <c:pt idx="11">
                  <c:v>A4</c:v>
                </c:pt>
                <c:pt idx="12">
                  <c:v>A3</c:v>
                </c:pt>
                <c:pt idx="13">
                  <c:v>A21</c:v>
                </c:pt>
                <c:pt idx="14">
                  <c:v>A12</c:v>
                </c:pt>
                <c:pt idx="15">
                  <c:v>A8</c:v>
                </c:pt>
                <c:pt idx="16">
                  <c:v>A13</c:v>
                </c:pt>
                <c:pt idx="17">
                  <c:v>A1</c:v>
                </c:pt>
                <c:pt idx="18">
                  <c:v>A2</c:v>
                </c:pt>
                <c:pt idx="19">
                  <c:v>A24</c:v>
                </c:pt>
                <c:pt idx="20">
                  <c:v>A17</c:v>
                </c:pt>
                <c:pt idx="21">
                  <c:v>A18</c:v>
                </c:pt>
                <c:pt idx="22">
                  <c:v>A20</c:v>
                </c:pt>
                <c:pt idx="23">
                  <c:v>A6</c:v>
                </c:pt>
                <c:pt idx="24">
                  <c:v>A9</c:v>
                </c:pt>
              </c:strCache>
            </c:strRef>
          </c:cat>
          <c:val>
            <c:numRef>
              <c:f>'HOR1 Model'!$AE$9:$AE$33</c:f>
              <c:numCache>
                <c:formatCode>General</c:formatCode>
                <c:ptCount val="25"/>
                <c:pt idx="1">
                  <c:v>1883</c:v>
                </c:pt>
                <c:pt idx="2">
                  <c:v>1860</c:v>
                </c:pt>
                <c:pt idx="3">
                  <c:v>1540</c:v>
                </c:pt>
                <c:pt idx="4">
                  <c:v>1332</c:v>
                </c:pt>
                <c:pt idx="5">
                  <c:v>1268</c:v>
                </c:pt>
                <c:pt idx="6">
                  <c:v>992</c:v>
                </c:pt>
                <c:pt idx="7">
                  <c:v>966</c:v>
                </c:pt>
                <c:pt idx="8">
                  <c:v>945</c:v>
                </c:pt>
                <c:pt idx="9">
                  <c:v>927</c:v>
                </c:pt>
                <c:pt idx="10">
                  <c:v>865</c:v>
                </c:pt>
                <c:pt idx="11">
                  <c:v>836</c:v>
                </c:pt>
                <c:pt idx="12">
                  <c:v>792</c:v>
                </c:pt>
                <c:pt idx="13">
                  <c:v>735</c:v>
                </c:pt>
                <c:pt idx="14">
                  <c:v>729</c:v>
                </c:pt>
                <c:pt idx="15">
                  <c:v>516</c:v>
                </c:pt>
                <c:pt idx="16">
                  <c:v>516</c:v>
                </c:pt>
                <c:pt idx="17">
                  <c:v>492</c:v>
                </c:pt>
                <c:pt idx="18">
                  <c:v>464</c:v>
                </c:pt>
                <c:pt idx="19">
                  <c:v>459</c:v>
                </c:pt>
                <c:pt idx="20">
                  <c:v>414</c:v>
                </c:pt>
                <c:pt idx="21">
                  <c:v>396</c:v>
                </c:pt>
                <c:pt idx="22">
                  <c:v>372</c:v>
                </c:pt>
                <c:pt idx="23">
                  <c:v>315</c:v>
                </c:pt>
                <c:pt idx="2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6-4963-A8B8-8ADF432DC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30640128"/>
        <c:axId val="330641088"/>
      </c:barChart>
      <c:lineChart>
        <c:grouping val="standard"/>
        <c:varyColors val="0"/>
        <c:ser>
          <c:idx val="1"/>
          <c:order val="1"/>
          <c:tx>
            <c:strRef>
              <c:f>'HOR1 Model'!$AG$8</c:f>
              <c:strCache>
                <c:ptCount val="1"/>
                <c:pt idx="0">
                  <c:v>Cumulative %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'HOR1 Model'!$AD$9:$AD$33</c:f>
              <c:strCache>
                <c:ptCount val="25"/>
                <c:pt idx="1">
                  <c:v>A7</c:v>
                </c:pt>
                <c:pt idx="2">
                  <c:v>A22</c:v>
                </c:pt>
                <c:pt idx="3">
                  <c:v>A5</c:v>
                </c:pt>
                <c:pt idx="4">
                  <c:v>A10</c:v>
                </c:pt>
                <c:pt idx="5">
                  <c:v>A14</c:v>
                </c:pt>
                <c:pt idx="6">
                  <c:v>A15</c:v>
                </c:pt>
                <c:pt idx="7">
                  <c:v>A16</c:v>
                </c:pt>
                <c:pt idx="8">
                  <c:v>A23</c:v>
                </c:pt>
                <c:pt idx="9">
                  <c:v>A11</c:v>
                </c:pt>
                <c:pt idx="10">
                  <c:v>A19</c:v>
                </c:pt>
                <c:pt idx="11">
                  <c:v>A4</c:v>
                </c:pt>
                <c:pt idx="12">
                  <c:v>A3</c:v>
                </c:pt>
                <c:pt idx="13">
                  <c:v>A21</c:v>
                </c:pt>
                <c:pt idx="14">
                  <c:v>A12</c:v>
                </c:pt>
                <c:pt idx="15">
                  <c:v>A8</c:v>
                </c:pt>
                <c:pt idx="16">
                  <c:v>A13</c:v>
                </c:pt>
                <c:pt idx="17">
                  <c:v>A1</c:v>
                </c:pt>
                <c:pt idx="18">
                  <c:v>A2</c:v>
                </c:pt>
                <c:pt idx="19">
                  <c:v>A24</c:v>
                </c:pt>
                <c:pt idx="20">
                  <c:v>A17</c:v>
                </c:pt>
                <c:pt idx="21">
                  <c:v>A18</c:v>
                </c:pt>
                <c:pt idx="22">
                  <c:v>A20</c:v>
                </c:pt>
                <c:pt idx="23">
                  <c:v>A6</c:v>
                </c:pt>
                <c:pt idx="24">
                  <c:v>A9</c:v>
                </c:pt>
              </c:strCache>
            </c:strRef>
          </c:cat>
          <c:val>
            <c:numRef>
              <c:f>'HOR1 Model'!$AG$9:$AG$33</c:f>
              <c:numCache>
                <c:formatCode>0.0%</c:formatCode>
                <c:ptCount val="25"/>
                <c:pt idx="1">
                  <c:v>9.4756441223832533E-2</c:v>
                </c:pt>
                <c:pt idx="2">
                  <c:v>0.18835547504025765</c:v>
                </c:pt>
                <c:pt idx="3">
                  <c:v>0.26585144927536231</c:v>
                </c:pt>
                <c:pt idx="4">
                  <c:v>0.3328804347826087</c:v>
                </c:pt>
                <c:pt idx="5">
                  <c:v>0.396688808373591</c:v>
                </c:pt>
                <c:pt idx="6">
                  <c:v>0.44660829307568439</c:v>
                </c:pt>
                <c:pt idx="7">
                  <c:v>0.4952194041867955</c:v>
                </c:pt>
                <c:pt idx="8">
                  <c:v>0.54277375201288247</c:v>
                </c:pt>
                <c:pt idx="9">
                  <c:v>0.58942230273752017</c:v>
                </c:pt>
                <c:pt idx="10">
                  <c:v>0.63295088566827695</c:v>
                </c:pt>
                <c:pt idx="11">
                  <c:v>0.6750201288244766</c:v>
                </c:pt>
                <c:pt idx="12">
                  <c:v>0.71487520128824478</c:v>
                </c:pt>
                <c:pt idx="13">
                  <c:v>0.75186191626409016</c:v>
                </c:pt>
                <c:pt idx="14">
                  <c:v>0.78854669887278583</c:v>
                </c:pt>
                <c:pt idx="15">
                  <c:v>0.81451288244766507</c:v>
                </c:pt>
                <c:pt idx="16">
                  <c:v>0.8404790660225443</c:v>
                </c:pt>
                <c:pt idx="17">
                  <c:v>0.86523752012882449</c:v>
                </c:pt>
                <c:pt idx="18">
                  <c:v>0.88858695652173914</c:v>
                </c:pt>
                <c:pt idx="19">
                  <c:v>0.91168478260869568</c:v>
                </c:pt>
                <c:pt idx="20">
                  <c:v>0.93251811594202894</c:v>
                </c:pt>
                <c:pt idx="21">
                  <c:v>0.95244565217391308</c:v>
                </c:pt>
                <c:pt idx="22">
                  <c:v>0.97116545893719808</c:v>
                </c:pt>
                <c:pt idx="23">
                  <c:v>0.98701690821256038</c:v>
                </c:pt>
                <c:pt idx="2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D6-4963-A8B8-8ADF432DC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0638688"/>
        <c:axId val="330644448"/>
      </c:lineChart>
      <c:catAx>
        <c:axId val="330640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Risk Agent 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641088"/>
        <c:crosses val="autoZero"/>
        <c:auto val="1"/>
        <c:lblAlgn val="ctr"/>
        <c:lblOffset val="100"/>
        <c:noMultiLvlLbl val="0"/>
      </c:catAx>
      <c:valAx>
        <c:axId val="33064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ARPj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640128"/>
        <c:crosses val="autoZero"/>
        <c:crossBetween val="between"/>
      </c:valAx>
      <c:valAx>
        <c:axId val="330644448"/>
        <c:scaling>
          <c:orientation val="minMax"/>
          <c:max val="1"/>
        </c:scaling>
        <c:delete val="0"/>
        <c:axPos val="r"/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ARPj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638688"/>
        <c:crosses val="max"/>
        <c:crossBetween val="between"/>
      </c:valAx>
      <c:catAx>
        <c:axId val="3306386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30644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'HOR1 Model'!$AE$8</c:f>
              <c:strCache>
                <c:ptCount val="1"/>
                <c:pt idx="0">
                  <c:v>ARP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'HOR1 Model'!$AD$9:$AD$33</c:f>
              <c:strCache>
                <c:ptCount val="25"/>
                <c:pt idx="1">
                  <c:v>A7</c:v>
                </c:pt>
                <c:pt idx="2">
                  <c:v>A22</c:v>
                </c:pt>
                <c:pt idx="3">
                  <c:v>A5</c:v>
                </c:pt>
                <c:pt idx="4">
                  <c:v>A10</c:v>
                </c:pt>
                <c:pt idx="5">
                  <c:v>A14</c:v>
                </c:pt>
                <c:pt idx="6">
                  <c:v>A15</c:v>
                </c:pt>
                <c:pt idx="7">
                  <c:v>A16</c:v>
                </c:pt>
                <c:pt idx="8">
                  <c:v>A23</c:v>
                </c:pt>
                <c:pt idx="9">
                  <c:v>A11</c:v>
                </c:pt>
                <c:pt idx="10">
                  <c:v>A19</c:v>
                </c:pt>
                <c:pt idx="11">
                  <c:v>A4</c:v>
                </c:pt>
                <c:pt idx="12">
                  <c:v>A3</c:v>
                </c:pt>
                <c:pt idx="13">
                  <c:v>A21</c:v>
                </c:pt>
                <c:pt idx="14">
                  <c:v>A12</c:v>
                </c:pt>
                <c:pt idx="15">
                  <c:v>A8</c:v>
                </c:pt>
                <c:pt idx="16">
                  <c:v>A13</c:v>
                </c:pt>
                <c:pt idx="17">
                  <c:v>A1</c:v>
                </c:pt>
                <c:pt idx="18">
                  <c:v>A2</c:v>
                </c:pt>
                <c:pt idx="19">
                  <c:v>A24</c:v>
                </c:pt>
                <c:pt idx="20">
                  <c:v>A17</c:v>
                </c:pt>
                <c:pt idx="21">
                  <c:v>A18</c:v>
                </c:pt>
                <c:pt idx="22">
                  <c:v>A20</c:v>
                </c:pt>
                <c:pt idx="23">
                  <c:v>A6</c:v>
                </c:pt>
                <c:pt idx="24">
                  <c:v>A9</c:v>
                </c:pt>
              </c:strCache>
            </c:strRef>
          </c:cat>
          <c:val>
            <c:numRef>
              <c:f>'HOR1 Model'!$AE$9:$AE$33</c:f>
              <c:numCache>
                <c:formatCode>General</c:formatCode>
                <c:ptCount val="25"/>
                <c:pt idx="1">
                  <c:v>1883</c:v>
                </c:pt>
                <c:pt idx="2">
                  <c:v>1860</c:v>
                </c:pt>
                <c:pt idx="3">
                  <c:v>1540</c:v>
                </c:pt>
                <c:pt idx="4">
                  <c:v>1332</c:v>
                </c:pt>
                <c:pt idx="5">
                  <c:v>1268</c:v>
                </c:pt>
                <c:pt idx="6">
                  <c:v>992</c:v>
                </c:pt>
                <c:pt idx="7">
                  <c:v>966</c:v>
                </c:pt>
                <c:pt idx="8">
                  <c:v>945</c:v>
                </c:pt>
                <c:pt idx="9">
                  <c:v>927</c:v>
                </c:pt>
                <c:pt idx="10">
                  <c:v>865</c:v>
                </c:pt>
                <c:pt idx="11">
                  <c:v>836</c:v>
                </c:pt>
                <c:pt idx="12">
                  <c:v>792</c:v>
                </c:pt>
                <c:pt idx="13">
                  <c:v>735</c:v>
                </c:pt>
                <c:pt idx="14">
                  <c:v>729</c:v>
                </c:pt>
                <c:pt idx="15">
                  <c:v>516</c:v>
                </c:pt>
                <c:pt idx="16">
                  <c:v>516</c:v>
                </c:pt>
                <c:pt idx="17">
                  <c:v>492</c:v>
                </c:pt>
                <c:pt idx="18">
                  <c:v>464</c:v>
                </c:pt>
                <c:pt idx="19">
                  <c:v>459</c:v>
                </c:pt>
                <c:pt idx="20">
                  <c:v>414</c:v>
                </c:pt>
                <c:pt idx="21">
                  <c:v>396</c:v>
                </c:pt>
                <c:pt idx="22">
                  <c:v>372</c:v>
                </c:pt>
                <c:pt idx="23">
                  <c:v>315</c:v>
                </c:pt>
                <c:pt idx="2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2-4E54-A0F3-26A6F6A2C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30640128"/>
        <c:axId val="330641088"/>
      </c:barChart>
      <c:lineChart>
        <c:grouping val="standard"/>
        <c:varyColors val="0"/>
        <c:ser>
          <c:idx val="1"/>
          <c:order val="1"/>
          <c:tx>
            <c:strRef>
              <c:f>'HOR1 Model'!$AG$8</c:f>
              <c:strCache>
                <c:ptCount val="1"/>
                <c:pt idx="0">
                  <c:v>Cumulative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cat>
            <c:strRef>
              <c:f>'HOR1 Model'!$AD$9:$AD$33</c:f>
              <c:strCache>
                <c:ptCount val="25"/>
                <c:pt idx="1">
                  <c:v>A7</c:v>
                </c:pt>
                <c:pt idx="2">
                  <c:v>A22</c:v>
                </c:pt>
                <c:pt idx="3">
                  <c:v>A5</c:v>
                </c:pt>
                <c:pt idx="4">
                  <c:v>A10</c:v>
                </c:pt>
                <c:pt idx="5">
                  <c:v>A14</c:v>
                </c:pt>
                <c:pt idx="6">
                  <c:v>A15</c:v>
                </c:pt>
                <c:pt idx="7">
                  <c:v>A16</c:v>
                </c:pt>
                <c:pt idx="8">
                  <c:v>A23</c:v>
                </c:pt>
                <c:pt idx="9">
                  <c:v>A11</c:v>
                </c:pt>
                <c:pt idx="10">
                  <c:v>A19</c:v>
                </c:pt>
                <c:pt idx="11">
                  <c:v>A4</c:v>
                </c:pt>
                <c:pt idx="12">
                  <c:v>A3</c:v>
                </c:pt>
                <c:pt idx="13">
                  <c:v>A21</c:v>
                </c:pt>
                <c:pt idx="14">
                  <c:v>A12</c:v>
                </c:pt>
                <c:pt idx="15">
                  <c:v>A8</c:v>
                </c:pt>
                <c:pt idx="16">
                  <c:v>A13</c:v>
                </c:pt>
                <c:pt idx="17">
                  <c:v>A1</c:v>
                </c:pt>
                <c:pt idx="18">
                  <c:v>A2</c:v>
                </c:pt>
                <c:pt idx="19">
                  <c:v>A24</c:v>
                </c:pt>
                <c:pt idx="20">
                  <c:v>A17</c:v>
                </c:pt>
                <c:pt idx="21">
                  <c:v>A18</c:v>
                </c:pt>
                <c:pt idx="22">
                  <c:v>A20</c:v>
                </c:pt>
                <c:pt idx="23">
                  <c:v>A6</c:v>
                </c:pt>
                <c:pt idx="24">
                  <c:v>A9</c:v>
                </c:pt>
              </c:strCache>
            </c:strRef>
          </c:cat>
          <c:val>
            <c:numRef>
              <c:f>'HOR1 Model'!$AG$9:$AG$33</c:f>
              <c:numCache>
                <c:formatCode>0.0%</c:formatCode>
                <c:ptCount val="25"/>
                <c:pt idx="1">
                  <c:v>9.4756441223832533E-2</c:v>
                </c:pt>
                <c:pt idx="2">
                  <c:v>0.18835547504025765</c:v>
                </c:pt>
                <c:pt idx="3">
                  <c:v>0.26585144927536231</c:v>
                </c:pt>
                <c:pt idx="4">
                  <c:v>0.3328804347826087</c:v>
                </c:pt>
                <c:pt idx="5">
                  <c:v>0.396688808373591</c:v>
                </c:pt>
                <c:pt idx="6">
                  <c:v>0.44660829307568439</c:v>
                </c:pt>
                <c:pt idx="7">
                  <c:v>0.4952194041867955</c:v>
                </c:pt>
                <c:pt idx="8">
                  <c:v>0.54277375201288247</c:v>
                </c:pt>
                <c:pt idx="9">
                  <c:v>0.58942230273752017</c:v>
                </c:pt>
                <c:pt idx="10">
                  <c:v>0.63295088566827695</c:v>
                </c:pt>
                <c:pt idx="11">
                  <c:v>0.6750201288244766</c:v>
                </c:pt>
                <c:pt idx="12">
                  <c:v>0.71487520128824478</c:v>
                </c:pt>
                <c:pt idx="13">
                  <c:v>0.75186191626409016</c:v>
                </c:pt>
                <c:pt idx="14">
                  <c:v>0.78854669887278583</c:v>
                </c:pt>
                <c:pt idx="15">
                  <c:v>0.81451288244766507</c:v>
                </c:pt>
                <c:pt idx="16">
                  <c:v>0.8404790660225443</c:v>
                </c:pt>
                <c:pt idx="17">
                  <c:v>0.86523752012882449</c:v>
                </c:pt>
                <c:pt idx="18">
                  <c:v>0.88858695652173914</c:v>
                </c:pt>
                <c:pt idx="19">
                  <c:v>0.91168478260869568</c:v>
                </c:pt>
                <c:pt idx="20">
                  <c:v>0.93251811594202894</c:v>
                </c:pt>
                <c:pt idx="21">
                  <c:v>0.95244565217391308</c:v>
                </c:pt>
                <c:pt idx="22">
                  <c:v>0.97116545893719808</c:v>
                </c:pt>
                <c:pt idx="23">
                  <c:v>0.98701690821256038</c:v>
                </c:pt>
                <c:pt idx="2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52-4E54-A0F3-26A6F6A2C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0638688"/>
        <c:axId val="330644448"/>
      </c:lineChart>
      <c:catAx>
        <c:axId val="330640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Risk Agent 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641088"/>
        <c:crosses val="autoZero"/>
        <c:auto val="1"/>
        <c:lblAlgn val="ctr"/>
        <c:lblOffset val="100"/>
        <c:noMultiLvlLbl val="0"/>
      </c:catAx>
      <c:valAx>
        <c:axId val="33064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ARPj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640128"/>
        <c:crosses val="autoZero"/>
        <c:crossBetween val="between"/>
      </c:valAx>
      <c:valAx>
        <c:axId val="330644448"/>
        <c:scaling>
          <c:orientation val="minMax"/>
          <c:max val="1"/>
        </c:scaling>
        <c:delete val="0"/>
        <c:axPos val="r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ARPj</a:t>
                </a:r>
                <a:r>
                  <a:rPr lang="en-ID" baseline="0"/>
                  <a:t> Percentage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638688"/>
        <c:crosses val="max"/>
        <c:crossBetween val="between"/>
      </c:valAx>
      <c:catAx>
        <c:axId val="3306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30644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D" b="0"/>
              <a:t>Diagram Pareto </a:t>
            </a:r>
            <a:r>
              <a:rPr lang="en-ID" b="0" i="1"/>
              <a:t>Risk Agent</a:t>
            </a:r>
            <a:endParaRPr lang="en-ID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'HOR1 Model experiment'!$AE$8</c:f>
              <c:strCache>
                <c:ptCount val="1"/>
                <c:pt idx="0">
                  <c:v>ARP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'HOR1 Model experiment'!$AD$9:$AD$33</c:f>
              <c:strCache>
                <c:ptCount val="25"/>
                <c:pt idx="1">
                  <c:v>A7</c:v>
                </c:pt>
                <c:pt idx="2">
                  <c:v>A22</c:v>
                </c:pt>
                <c:pt idx="3">
                  <c:v>A5</c:v>
                </c:pt>
                <c:pt idx="4">
                  <c:v>A10</c:v>
                </c:pt>
                <c:pt idx="5">
                  <c:v>A14</c:v>
                </c:pt>
                <c:pt idx="6">
                  <c:v>A15</c:v>
                </c:pt>
                <c:pt idx="7">
                  <c:v>A16</c:v>
                </c:pt>
                <c:pt idx="8">
                  <c:v>A23</c:v>
                </c:pt>
                <c:pt idx="9">
                  <c:v>A11</c:v>
                </c:pt>
                <c:pt idx="10">
                  <c:v>A19</c:v>
                </c:pt>
                <c:pt idx="11">
                  <c:v>A4</c:v>
                </c:pt>
                <c:pt idx="12">
                  <c:v>A3</c:v>
                </c:pt>
                <c:pt idx="13">
                  <c:v>A21</c:v>
                </c:pt>
                <c:pt idx="14">
                  <c:v>A12</c:v>
                </c:pt>
                <c:pt idx="15">
                  <c:v>A8</c:v>
                </c:pt>
                <c:pt idx="16">
                  <c:v>A13</c:v>
                </c:pt>
                <c:pt idx="17">
                  <c:v>A1</c:v>
                </c:pt>
                <c:pt idx="18">
                  <c:v>A2</c:v>
                </c:pt>
                <c:pt idx="19">
                  <c:v>A24</c:v>
                </c:pt>
                <c:pt idx="20">
                  <c:v>A17</c:v>
                </c:pt>
                <c:pt idx="21">
                  <c:v>A18</c:v>
                </c:pt>
                <c:pt idx="22">
                  <c:v>A20</c:v>
                </c:pt>
                <c:pt idx="23">
                  <c:v>A6</c:v>
                </c:pt>
                <c:pt idx="24">
                  <c:v>A9</c:v>
                </c:pt>
              </c:strCache>
            </c:strRef>
          </c:cat>
          <c:val>
            <c:numRef>
              <c:f>'HOR1 Model experiment'!$AE$9:$AE$33</c:f>
              <c:numCache>
                <c:formatCode>General</c:formatCode>
                <c:ptCount val="25"/>
                <c:pt idx="1">
                  <c:v>1883</c:v>
                </c:pt>
                <c:pt idx="2">
                  <c:v>1860</c:v>
                </c:pt>
                <c:pt idx="3">
                  <c:v>1540</c:v>
                </c:pt>
                <c:pt idx="4">
                  <c:v>1332</c:v>
                </c:pt>
                <c:pt idx="5">
                  <c:v>1268</c:v>
                </c:pt>
                <c:pt idx="6">
                  <c:v>992</c:v>
                </c:pt>
                <c:pt idx="7">
                  <c:v>966</c:v>
                </c:pt>
                <c:pt idx="8">
                  <c:v>945</c:v>
                </c:pt>
                <c:pt idx="9">
                  <c:v>927</c:v>
                </c:pt>
                <c:pt idx="10">
                  <c:v>865</c:v>
                </c:pt>
                <c:pt idx="11">
                  <c:v>836</c:v>
                </c:pt>
                <c:pt idx="12">
                  <c:v>792</c:v>
                </c:pt>
                <c:pt idx="13">
                  <c:v>735</c:v>
                </c:pt>
                <c:pt idx="14">
                  <c:v>729</c:v>
                </c:pt>
                <c:pt idx="15">
                  <c:v>516</c:v>
                </c:pt>
                <c:pt idx="16">
                  <c:v>516</c:v>
                </c:pt>
                <c:pt idx="17">
                  <c:v>492</c:v>
                </c:pt>
                <c:pt idx="18">
                  <c:v>464</c:v>
                </c:pt>
                <c:pt idx="19">
                  <c:v>459</c:v>
                </c:pt>
                <c:pt idx="20">
                  <c:v>414</c:v>
                </c:pt>
                <c:pt idx="21">
                  <c:v>396</c:v>
                </c:pt>
                <c:pt idx="22">
                  <c:v>372</c:v>
                </c:pt>
                <c:pt idx="23">
                  <c:v>315</c:v>
                </c:pt>
                <c:pt idx="2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33-43BC-8BEF-F1884C4A4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30640128"/>
        <c:axId val="330641088"/>
      </c:barChart>
      <c:lineChart>
        <c:grouping val="standard"/>
        <c:varyColors val="0"/>
        <c:ser>
          <c:idx val="1"/>
          <c:order val="1"/>
          <c:tx>
            <c:strRef>
              <c:f>'HOR1 Model experiment'!$AG$8</c:f>
              <c:strCache>
                <c:ptCount val="1"/>
                <c:pt idx="0">
                  <c:v>Cumulative %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'HOR1 Model experiment'!$AD$9:$AD$33</c:f>
              <c:strCache>
                <c:ptCount val="25"/>
                <c:pt idx="1">
                  <c:v>A7</c:v>
                </c:pt>
                <c:pt idx="2">
                  <c:v>A22</c:v>
                </c:pt>
                <c:pt idx="3">
                  <c:v>A5</c:v>
                </c:pt>
                <c:pt idx="4">
                  <c:v>A10</c:v>
                </c:pt>
                <c:pt idx="5">
                  <c:v>A14</c:v>
                </c:pt>
                <c:pt idx="6">
                  <c:v>A15</c:v>
                </c:pt>
                <c:pt idx="7">
                  <c:v>A16</c:v>
                </c:pt>
                <c:pt idx="8">
                  <c:v>A23</c:v>
                </c:pt>
                <c:pt idx="9">
                  <c:v>A11</c:v>
                </c:pt>
                <c:pt idx="10">
                  <c:v>A19</c:v>
                </c:pt>
                <c:pt idx="11">
                  <c:v>A4</c:v>
                </c:pt>
                <c:pt idx="12">
                  <c:v>A3</c:v>
                </c:pt>
                <c:pt idx="13">
                  <c:v>A21</c:v>
                </c:pt>
                <c:pt idx="14">
                  <c:v>A12</c:v>
                </c:pt>
                <c:pt idx="15">
                  <c:v>A8</c:v>
                </c:pt>
                <c:pt idx="16">
                  <c:v>A13</c:v>
                </c:pt>
                <c:pt idx="17">
                  <c:v>A1</c:v>
                </c:pt>
                <c:pt idx="18">
                  <c:v>A2</c:v>
                </c:pt>
                <c:pt idx="19">
                  <c:v>A24</c:v>
                </c:pt>
                <c:pt idx="20">
                  <c:v>A17</c:v>
                </c:pt>
                <c:pt idx="21">
                  <c:v>A18</c:v>
                </c:pt>
                <c:pt idx="22">
                  <c:v>A20</c:v>
                </c:pt>
                <c:pt idx="23">
                  <c:v>A6</c:v>
                </c:pt>
                <c:pt idx="24">
                  <c:v>A9</c:v>
                </c:pt>
              </c:strCache>
            </c:strRef>
          </c:cat>
          <c:val>
            <c:numRef>
              <c:f>'HOR1 Model experiment'!$AG$9:$AG$33</c:f>
              <c:numCache>
                <c:formatCode>0.0%</c:formatCode>
                <c:ptCount val="25"/>
                <c:pt idx="1">
                  <c:v>9.4756441223832533E-2</c:v>
                </c:pt>
                <c:pt idx="2">
                  <c:v>0.18835547504025765</c:v>
                </c:pt>
                <c:pt idx="3">
                  <c:v>0.26585144927536231</c:v>
                </c:pt>
                <c:pt idx="4">
                  <c:v>0.3328804347826087</c:v>
                </c:pt>
                <c:pt idx="5">
                  <c:v>0.396688808373591</c:v>
                </c:pt>
                <c:pt idx="6">
                  <c:v>0.44660829307568439</c:v>
                </c:pt>
                <c:pt idx="7">
                  <c:v>0.4952194041867955</c:v>
                </c:pt>
                <c:pt idx="8">
                  <c:v>0.54277375201288247</c:v>
                </c:pt>
                <c:pt idx="9">
                  <c:v>0.58942230273752017</c:v>
                </c:pt>
                <c:pt idx="10">
                  <c:v>0.63295088566827695</c:v>
                </c:pt>
                <c:pt idx="11">
                  <c:v>0.6750201288244766</c:v>
                </c:pt>
                <c:pt idx="12">
                  <c:v>0.71487520128824478</c:v>
                </c:pt>
                <c:pt idx="13">
                  <c:v>0.75186191626409016</c:v>
                </c:pt>
                <c:pt idx="14">
                  <c:v>0.78854669887278583</c:v>
                </c:pt>
                <c:pt idx="15">
                  <c:v>0.81451288244766507</c:v>
                </c:pt>
                <c:pt idx="16">
                  <c:v>0.8404790660225443</c:v>
                </c:pt>
                <c:pt idx="17">
                  <c:v>0.86523752012882449</c:v>
                </c:pt>
                <c:pt idx="18">
                  <c:v>0.88858695652173914</c:v>
                </c:pt>
                <c:pt idx="19">
                  <c:v>0.91168478260869568</c:v>
                </c:pt>
                <c:pt idx="20">
                  <c:v>0.93251811594202894</c:v>
                </c:pt>
                <c:pt idx="21">
                  <c:v>0.95244565217391308</c:v>
                </c:pt>
                <c:pt idx="22">
                  <c:v>0.97116545893719808</c:v>
                </c:pt>
                <c:pt idx="23">
                  <c:v>0.98701690821256038</c:v>
                </c:pt>
                <c:pt idx="2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33-43BC-8BEF-F1884C4A4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0638688"/>
        <c:axId val="330644448"/>
      </c:lineChart>
      <c:catAx>
        <c:axId val="330640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Risk Agent 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641088"/>
        <c:crosses val="autoZero"/>
        <c:auto val="1"/>
        <c:lblAlgn val="ctr"/>
        <c:lblOffset val="100"/>
        <c:noMultiLvlLbl val="0"/>
      </c:catAx>
      <c:valAx>
        <c:axId val="33064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ARPj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640128"/>
        <c:crosses val="autoZero"/>
        <c:crossBetween val="between"/>
      </c:valAx>
      <c:valAx>
        <c:axId val="330644448"/>
        <c:scaling>
          <c:orientation val="minMax"/>
          <c:max val="1"/>
        </c:scaling>
        <c:delete val="0"/>
        <c:axPos val="r"/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ARPj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638688"/>
        <c:crosses val="max"/>
        <c:crossBetween val="between"/>
      </c:valAx>
      <c:catAx>
        <c:axId val="3306386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30644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'HOR1 Model experiment'!$AE$8</c:f>
              <c:strCache>
                <c:ptCount val="1"/>
                <c:pt idx="0">
                  <c:v>ARP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'HOR1 Model experiment'!$AD$9:$AD$33</c:f>
              <c:strCache>
                <c:ptCount val="25"/>
                <c:pt idx="1">
                  <c:v>A7</c:v>
                </c:pt>
                <c:pt idx="2">
                  <c:v>A22</c:v>
                </c:pt>
                <c:pt idx="3">
                  <c:v>A5</c:v>
                </c:pt>
                <c:pt idx="4">
                  <c:v>A10</c:v>
                </c:pt>
                <c:pt idx="5">
                  <c:v>A14</c:v>
                </c:pt>
                <c:pt idx="6">
                  <c:v>A15</c:v>
                </c:pt>
                <c:pt idx="7">
                  <c:v>A16</c:v>
                </c:pt>
                <c:pt idx="8">
                  <c:v>A23</c:v>
                </c:pt>
                <c:pt idx="9">
                  <c:v>A11</c:v>
                </c:pt>
                <c:pt idx="10">
                  <c:v>A19</c:v>
                </c:pt>
                <c:pt idx="11">
                  <c:v>A4</c:v>
                </c:pt>
                <c:pt idx="12">
                  <c:v>A3</c:v>
                </c:pt>
                <c:pt idx="13">
                  <c:v>A21</c:v>
                </c:pt>
                <c:pt idx="14">
                  <c:v>A12</c:v>
                </c:pt>
                <c:pt idx="15">
                  <c:v>A8</c:v>
                </c:pt>
                <c:pt idx="16">
                  <c:v>A13</c:v>
                </c:pt>
                <c:pt idx="17">
                  <c:v>A1</c:v>
                </c:pt>
                <c:pt idx="18">
                  <c:v>A2</c:v>
                </c:pt>
                <c:pt idx="19">
                  <c:v>A24</c:v>
                </c:pt>
                <c:pt idx="20">
                  <c:v>A17</c:v>
                </c:pt>
                <c:pt idx="21">
                  <c:v>A18</c:v>
                </c:pt>
                <c:pt idx="22">
                  <c:v>A20</c:v>
                </c:pt>
                <c:pt idx="23">
                  <c:v>A6</c:v>
                </c:pt>
                <c:pt idx="24">
                  <c:v>A9</c:v>
                </c:pt>
              </c:strCache>
            </c:strRef>
          </c:cat>
          <c:val>
            <c:numRef>
              <c:f>'HOR1 Model experiment'!$AE$9:$AE$33</c:f>
              <c:numCache>
                <c:formatCode>General</c:formatCode>
                <c:ptCount val="25"/>
                <c:pt idx="1">
                  <c:v>1883</c:v>
                </c:pt>
                <c:pt idx="2">
                  <c:v>1860</c:v>
                </c:pt>
                <c:pt idx="3">
                  <c:v>1540</c:v>
                </c:pt>
                <c:pt idx="4">
                  <c:v>1332</c:v>
                </c:pt>
                <c:pt idx="5">
                  <c:v>1268</c:v>
                </c:pt>
                <c:pt idx="6">
                  <c:v>992</c:v>
                </c:pt>
                <c:pt idx="7">
                  <c:v>966</c:v>
                </c:pt>
                <c:pt idx="8">
                  <c:v>945</c:v>
                </c:pt>
                <c:pt idx="9">
                  <c:v>927</c:v>
                </c:pt>
                <c:pt idx="10">
                  <c:v>865</c:v>
                </c:pt>
                <c:pt idx="11">
                  <c:v>836</c:v>
                </c:pt>
                <c:pt idx="12">
                  <c:v>792</c:v>
                </c:pt>
                <c:pt idx="13">
                  <c:v>735</c:v>
                </c:pt>
                <c:pt idx="14">
                  <c:v>729</c:v>
                </c:pt>
                <c:pt idx="15">
                  <c:v>516</c:v>
                </c:pt>
                <c:pt idx="16">
                  <c:v>516</c:v>
                </c:pt>
                <c:pt idx="17">
                  <c:v>492</c:v>
                </c:pt>
                <c:pt idx="18">
                  <c:v>464</c:v>
                </c:pt>
                <c:pt idx="19">
                  <c:v>459</c:v>
                </c:pt>
                <c:pt idx="20">
                  <c:v>414</c:v>
                </c:pt>
                <c:pt idx="21">
                  <c:v>396</c:v>
                </c:pt>
                <c:pt idx="22">
                  <c:v>372</c:v>
                </c:pt>
                <c:pt idx="23">
                  <c:v>315</c:v>
                </c:pt>
                <c:pt idx="2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84-4631-81D3-A8149EF05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30640128"/>
        <c:axId val="330641088"/>
      </c:barChart>
      <c:lineChart>
        <c:grouping val="standard"/>
        <c:varyColors val="0"/>
        <c:ser>
          <c:idx val="1"/>
          <c:order val="1"/>
          <c:tx>
            <c:strRef>
              <c:f>'HOR1 Model experiment'!$AG$8</c:f>
              <c:strCache>
                <c:ptCount val="1"/>
                <c:pt idx="0">
                  <c:v>Cumulative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cat>
            <c:strRef>
              <c:f>'HOR1 Model experiment'!$AD$9:$AD$33</c:f>
              <c:strCache>
                <c:ptCount val="25"/>
                <c:pt idx="1">
                  <c:v>A7</c:v>
                </c:pt>
                <c:pt idx="2">
                  <c:v>A22</c:v>
                </c:pt>
                <c:pt idx="3">
                  <c:v>A5</c:v>
                </c:pt>
                <c:pt idx="4">
                  <c:v>A10</c:v>
                </c:pt>
                <c:pt idx="5">
                  <c:v>A14</c:v>
                </c:pt>
                <c:pt idx="6">
                  <c:v>A15</c:v>
                </c:pt>
                <c:pt idx="7">
                  <c:v>A16</c:v>
                </c:pt>
                <c:pt idx="8">
                  <c:v>A23</c:v>
                </c:pt>
                <c:pt idx="9">
                  <c:v>A11</c:v>
                </c:pt>
                <c:pt idx="10">
                  <c:v>A19</c:v>
                </c:pt>
                <c:pt idx="11">
                  <c:v>A4</c:v>
                </c:pt>
                <c:pt idx="12">
                  <c:v>A3</c:v>
                </c:pt>
                <c:pt idx="13">
                  <c:v>A21</c:v>
                </c:pt>
                <c:pt idx="14">
                  <c:v>A12</c:v>
                </c:pt>
                <c:pt idx="15">
                  <c:v>A8</c:v>
                </c:pt>
                <c:pt idx="16">
                  <c:v>A13</c:v>
                </c:pt>
                <c:pt idx="17">
                  <c:v>A1</c:v>
                </c:pt>
                <c:pt idx="18">
                  <c:v>A2</c:v>
                </c:pt>
                <c:pt idx="19">
                  <c:v>A24</c:v>
                </c:pt>
                <c:pt idx="20">
                  <c:v>A17</c:v>
                </c:pt>
                <c:pt idx="21">
                  <c:v>A18</c:v>
                </c:pt>
                <c:pt idx="22">
                  <c:v>A20</c:v>
                </c:pt>
                <c:pt idx="23">
                  <c:v>A6</c:v>
                </c:pt>
                <c:pt idx="24">
                  <c:v>A9</c:v>
                </c:pt>
              </c:strCache>
            </c:strRef>
          </c:cat>
          <c:val>
            <c:numRef>
              <c:f>'HOR1 Model experiment'!$AG$9:$AG$33</c:f>
              <c:numCache>
                <c:formatCode>0.0%</c:formatCode>
                <c:ptCount val="25"/>
                <c:pt idx="1">
                  <c:v>9.4756441223832533E-2</c:v>
                </c:pt>
                <c:pt idx="2">
                  <c:v>0.18835547504025765</c:v>
                </c:pt>
                <c:pt idx="3">
                  <c:v>0.26585144927536231</c:v>
                </c:pt>
                <c:pt idx="4">
                  <c:v>0.3328804347826087</c:v>
                </c:pt>
                <c:pt idx="5">
                  <c:v>0.396688808373591</c:v>
                </c:pt>
                <c:pt idx="6">
                  <c:v>0.44660829307568439</c:v>
                </c:pt>
                <c:pt idx="7">
                  <c:v>0.4952194041867955</c:v>
                </c:pt>
                <c:pt idx="8">
                  <c:v>0.54277375201288247</c:v>
                </c:pt>
                <c:pt idx="9">
                  <c:v>0.58942230273752017</c:v>
                </c:pt>
                <c:pt idx="10">
                  <c:v>0.63295088566827695</c:v>
                </c:pt>
                <c:pt idx="11">
                  <c:v>0.6750201288244766</c:v>
                </c:pt>
                <c:pt idx="12">
                  <c:v>0.71487520128824478</c:v>
                </c:pt>
                <c:pt idx="13">
                  <c:v>0.75186191626409016</c:v>
                </c:pt>
                <c:pt idx="14">
                  <c:v>0.78854669887278583</c:v>
                </c:pt>
                <c:pt idx="15">
                  <c:v>0.81451288244766507</c:v>
                </c:pt>
                <c:pt idx="16">
                  <c:v>0.8404790660225443</c:v>
                </c:pt>
                <c:pt idx="17">
                  <c:v>0.86523752012882449</c:v>
                </c:pt>
                <c:pt idx="18">
                  <c:v>0.88858695652173914</c:v>
                </c:pt>
                <c:pt idx="19">
                  <c:v>0.91168478260869568</c:v>
                </c:pt>
                <c:pt idx="20">
                  <c:v>0.93251811594202894</c:v>
                </c:pt>
                <c:pt idx="21">
                  <c:v>0.95244565217391308</c:v>
                </c:pt>
                <c:pt idx="22">
                  <c:v>0.97116545893719808</c:v>
                </c:pt>
                <c:pt idx="23">
                  <c:v>0.98701690821256038</c:v>
                </c:pt>
                <c:pt idx="2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84-4631-81D3-A8149EF05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0638688"/>
        <c:axId val="330644448"/>
      </c:lineChart>
      <c:catAx>
        <c:axId val="330640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Risk Agent 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641088"/>
        <c:crosses val="autoZero"/>
        <c:auto val="1"/>
        <c:lblAlgn val="ctr"/>
        <c:lblOffset val="100"/>
        <c:noMultiLvlLbl val="0"/>
      </c:catAx>
      <c:valAx>
        <c:axId val="33064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ARPj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640128"/>
        <c:crosses val="autoZero"/>
        <c:crossBetween val="between"/>
      </c:valAx>
      <c:valAx>
        <c:axId val="330644448"/>
        <c:scaling>
          <c:orientation val="minMax"/>
          <c:max val="1"/>
        </c:scaling>
        <c:delete val="0"/>
        <c:axPos val="r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ARPj</a:t>
                </a:r>
                <a:r>
                  <a:rPr lang="en-ID" baseline="0"/>
                  <a:t> Percentage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638688"/>
        <c:crosses val="max"/>
        <c:crossBetween val="between"/>
      </c:valAx>
      <c:catAx>
        <c:axId val="330638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30644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642935</xdr:colOff>
      <xdr:row>6</xdr:row>
      <xdr:rowOff>159771</xdr:rowOff>
    </xdr:from>
    <xdr:to>
      <xdr:col>42</xdr:col>
      <xdr:colOff>34016</xdr:colOff>
      <xdr:row>24</xdr:row>
      <xdr:rowOff>157049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B4E08B-1C22-8292-7BAB-C53CEB4948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630039</xdr:colOff>
      <xdr:row>27</xdr:row>
      <xdr:rowOff>19844</xdr:rowOff>
    </xdr:from>
    <xdr:to>
      <xdr:col>42</xdr:col>
      <xdr:colOff>21120</xdr:colOff>
      <xdr:row>45</xdr:row>
      <xdr:rowOff>17122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4E6F51-24A8-417A-8121-1F927323E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642935</xdr:colOff>
      <xdr:row>6</xdr:row>
      <xdr:rowOff>159771</xdr:rowOff>
    </xdr:from>
    <xdr:to>
      <xdr:col>42</xdr:col>
      <xdr:colOff>34016</xdr:colOff>
      <xdr:row>24</xdr:row>
      <xdr:rowOff>157049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BC8664-E488-4618-9A40-9B5336FB90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630039</xdr:colOff>
      <xdr:row>27</xdr:row>
      <xdr:rowOff>19844</xdr:rowOff>
    </xdr:from>
    <xdr:to>
      <xdr:col>42</xdr:col>
      <xdr:colOff>21120</xdr:colOff>
      <xdr:row>45</xdr:row>
      <xdr:rowOff>17122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5ABD1B-4B63-4B83-A0A0-01C00F182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555D0-381D-4F3F-8641-0E3D5D829FEF}">
  <sheetPr>
    <pageSetUpPr fitToPage="1"/>
  </sheetPr>
  <dimension ref="A1:H31"/>
  <sheetViews>
    <sheetView zoomScale="81" workbookViewId="0">
      <selection activeCell="B37" sqref="B37"/>
    </sheetView>
  </sheetViews>
  <sheetFormatPr defaultRowHeight="14.25" x14ac:dyDescent="0.45"/>
  <cols>
    <col min="1" max="1" width="18.46484375" customWidth="1"/>
    <col min="2" max="2" width="36.9296875" style="1" customWidth="1"/>
    <col min="4" max="4" width="10.265625" customWidth="1"/>
    <col min="5" max="5" width="25.59765625" customWidth="1"/>
    <col min="6" max="6" width="33.73046875" customWidth="1"/>
    <col min="7" max="7" width="17.86328125" customWidth="1"/>
    <col min="8" max="8" width="26.33203125" customWidth="1"/>
  </cols>
  <sheetData>
    <row r="1" spans="1:8" ht="291" customHeight="1" x14ac:dyDescent="0.45">
      <c r="A1" s="33" t="s">
        <v>118</v>
      </c>
      <c r="B1" s="33"/>
      <c r="C1" s="33"/>
      <c r="D1" s="33"/>
    </row>
    <row r="2" spans="1:8" ht="14.65" customHeight="1" x14ac:dyDescent="0.45">
      <c r="A2" s="5" t="s">
        <v>119</v>
      </c>
      <c r="B2" s="5"/>
      <c r="C2" s="5"/>
      <c r="D2" s="5"/>
    </row>
    <row r="3" spans="1:8" ht="14.65" customHeight="1" x14ac:dyDescent="0.45">
      <c r="A3" s="23" t="s">
        <v>116</v>
      </c>
      <c r="B3" s="23"/>
      <c r="C3" s="23"/>
      <c r="D3" s="23"/>
      <c r="G3" s="1" t="s">
        <v>120</v>
      </c>
    </row>
    <row r="4" spans="1:8" ht="42.75" x14ac:dyDescent="0.45">
      <c r="A4" s="3" t="s">
        <v>0</v>
      </c>
      <c r="B4" s="6" t="s">
        <v>1</v>
      </c>
      <c r="C4" s="3" t="s">
        <v>2</v>
      </c>
      <c r="D4" s="3" t="s">
        <v>3</v>
      </c>
      <c r="E4" s="9" t="s">
        <v>127</v>
      </c>
      <c r="G4" s="1" t="s">
        <v>121</v>
      </c>
      <c r="H4" s="11" t="s">
        <v>122</v>
      </c>
    </row>
    <row r="5" spans="1:8" ht="42.75" x14ac:dyDescent="0.45">
      <c r="A5" s="31" t="s">
        <v>4</v>
      </c>
      <c r="B5" s="7" t="s">
        <v>5</v>
      </c>
      <c r="C5" s="2" t="s">
        <v>6</v>
      </c>
      <c r="D5" s="4"/>
      <c r="E5" s="12"/>
      <c r="G5" s="1" t="s">
        <v>123</v>
      </c>
      <c r="H5" s="11" t="s">
        <v>124</v>
      </c>
    </row>
    <row r="6" spans="1:8" ht="28.5" x14ac:dyDescent="0.45">
      <c r="A6" s="34"/>
      <c r="B6" s="7" t="s">
        <v>7</v>
      </c>
      <c r="C6" s="2" t="s">
        <v>28</v>
      </c>
      <c r="D6" s="4"/>
      <c r="E6" s="12" t="s">
        <v>128</v>
      </c>
    </row>
    <row r="7" spans="1:8" x14ac:dyDescent="0.45">
      <c r="A7" s="34"/>
      <c r="B7" s="7" t="s">
        <v>8</v>
      </c>
      <c r="C7" s="2" t="s">
        <v>29</v>
      </c>
      <c r="D7" s="4"/>
      <c r="E7" s="12"/>
    </row>
    <row r="8" spans="1:8" x14ac:dyDescent="0.45">
      <c r="A8" s="34"/>
      <c r="B8" s="7" t="s">
        <v>9</v>
      </c>
      <c r="C8" s="2" t="s">
        <v>30</v>
      </c>
      <c r="D8" s="4"/>
      <c r="E8" s="12" t="s">
        <v>129</v>
      </c>
    </row>
    <row r="9" spans="1:8" ht="28.5" x14ac:dyDescent="0.45">
      <c r="A9" s="32"/>
      <c r="B9" s="7" t="s">
        <v>10</v>
      </c>
      <c r="C9" s="2" t="s">
        <v>31</v>
      </c>
      <c r="D9" s="4"/>
      <c r="E9" s="12"/>
    </row>
    <row r="10" spans="1:8" ht="28.5" x14ac:dyDescent="0.45">
      <c r="A10" s="31" t="s">
        <v>49</v>
      </c>
      <c r="B10" s="7" t="s">
        <v>11</v>
      </c>
      <c r="C10" s="2" t="s">
        <v>32</v>
      </c>
      <c r="D10" s="4"/>
      <c r="E10" s="12"/>
    </row>
    <row r="11" spans="1:8" x14ac:dyDescent="0.45">
      <c r="A11" s="34"/>
      <c r="B11" s="7" t="s">
        <v>12</v>
      </c>
      <c r="C11" s="2" t="s">
        <v>33</v>
      </c>
      <c r="D11" s="4"/>
      <c r="E11" s="12"/>
    </row>
    <row r="12" spans="1:8" x14ac:dyDescent="0.45">
      <c r="A12" s="34"/>
      <c r="B12" s="7" t="s">
        <v>13</v>
      </c>
      <c r="C12" s="2" t="s">
        <v>34</v>
      </c>
      <c r="D12" s="4"/>
      <c r="E12" s="12" t="s">
        <v>130</v>
      </c>
    </row>
    <row r="13" spans="1:8" ht="28.5" x14ac:dyDescent="0.45">
      <c r="A13" s="32"/>
      <c r="B13" s="7" t="s">
        <v>14</v>
      </c>
      <c r="C13" s="2" t="s">
        <v>35</v>
      </c>
      <c r="D13" s="4"/>
      <c r="E13" s="12" t="s">
        <v>131</v>
      </c>
    </row>
    <row r="14" spans="1:8" x14ac:dyDescent="0.45">
      <c r="A14" s="31" t="s">
        <v>50</v>
      </c>
      <c r="B14" s="7" t="s">
        <v>15</v>
      </c>
      <c r="C14" s="2" t="s">
        <v>36</v>
      </c>
      <c r="D14" s="4"/>
      <c r="E14" s="12"/>
    </row>
    <row r="15" spans="1:8" x14ac:dyDescent="0.45">
      <c r="A15" s="34"/>
      <c r="B15" s="7" t="s">
        <v>16</v>
      </c>
      <c r="C15" s="2" t="s">
        <v>37</v>
      </c>
      <c r="D15" s="4"/>
      <c r="E15" s="12" t="s">
        <v>132</v>
      </c>
      <c r="F15" t="s">
        <v>133</v>
      </c>
    </row>
    <row r="16" spans="1:8" x14ac:dyDescent="0.45">
      <c r="A16" s="34"/>
      <c r="B16" s="7" t="s">
        <v>17</v>
      </c>
      <c r="C16" s="2" t="s">
        <v>38</v>
      </c>
      <c r="D16" s="4"/>
      <c r="E16" s="12"/>
    </row>
    <row r="17" spans="1:5" ht="28.5" x14ac:dyDescent="0.45">
      <c r="A17" s="34"/>
      <c r="B17" s="7" t="s">
        <v>18</v>
      </c>
      <c r="C17" s="2" t="s">
        <v>39</v>
      </c>
      <c r="D17" s="4"/>
      <c r="E17" s="12"/>
    </row>
    <row r="18" spans="1:5" x14ac:dyDescent="0.45">
      <c r="A18" s="34"/>
      <c r="B18" s="7" t="s">
        <v>19</v>
      </c>
      <c r="C18" s="2" t="s">
        <v>40</v>
      </c>
      <c r="D18" s="4"/>
      <c r="E18" s="12"/>
    </row>
    <row r="19" spans="1:5" x14ac:dyDescent="0.45">
      <c r="A19" s="34"/>
      <c r="B19" s="7" t="s">
        <v>20</v>
      </c>
      <c r="C19" s="2" t="s">
        <v>41</v>
      </c>
      <c r="D19" s="4"/>
      <c r="E19" s="12"/>
    </row>
    <row r="20" spans="1:5" ht="28.5" x14ac:dyDescent="0.45">
      <c r="A20" s="32"/>
      <c r="B20" s="7" t="s">
        <v>21</v>
      </c>
      <c r="C20" s="2" t="s">
        <v>42</v>
      </c>
      <c r="D20" s="4"/>
      <c r="E20" s="12"/>
    </row>
    <row r="21" spans="1:5" ht="28.5" x14ac:dyDescent="0.45">
      <c r="A21" s="35" t="s">
        <v>51</v>
      </c>
      <c r="B21" s="7" t="s">
        <v>22</v>
      </c>
      <c r="C21" s="2" t="s">
        <v>43</v>
      </c>
      <c r="D21" s="4"/>
      <c r="E21" s="12"/>
    </row>
    <row r="22" spans="1:5" ht="28.5" x14ac:dyDescent="0.45">
      <c r="A22" s="36"/>
      <c r="B22" s="7" t="s">
        <v>23</v>
      </c>
      <c r="C22" s="2" t="s">
        <v>44</v>
      </c>
      <c r="D22" s="4"/>
      <c r="E22" s="12"/>
    </row>
    <row r="23" spans="1:5" x14ac:dyDescent="0.45">
      <c r="A23" s="36"/>
      <c r="B23" s="7" t="s">
        <v>24</v>
      </c>
      <c r="C23" s="2" t="s">
        <v>45</v>
      </c>
      <c r="D23" s="4"/>
      <c r="E23" s="12"/>
    </row>
    <row r="24" spans="1:5" x14ac:dyDescent="0.45">
      <c r="A24" s="37"/>
      <c r="B24" s="7" t="s">
        <v>25</v>
      </c>
      <c r="C24" s="2" t="s">
        <v>46</v>
      </c>
      <c r="D24" s="4"/>
      <c r="E24" s="12"/>
    </row>
    <row r="25" spans="1:5" x14ac:dyDescent="0.45">
      <c r="A25" s="31" t="s">
        <v>52</v>
      </c>
      <c r="B25" s="7" t="s">
        <v>26</v>
      </c>
      <c r="C25" s="2" t="s">
        <v>47</v>
      </c>
      <c r="D25" s="4"/>
      <c r="E25" s="12"/>
    </row>
    <row r="26" spans="1:5" x14ac:dyDescent="0.45">
      <c r="A26" s="32"/>
      <c r="B26" s="7" t="s">
        <v>27</v>
      </c>
      <c r="C26" s="2" t="s">
        <v>48</v>
      </c>
      <c r="D26" s="4"/>
      <c r="E26" s="12"/>
    </row>
    <row r="27" spans="1:5" x14ac:dyDescent="0.45">
      <c r="B27" s="8"/>
    </row>
    <row r="28" spans="1:5" x14ac:dyDescent="0.45">
      <c r="B28" s="1" t="s">
        <v>120</v>
      </c>
    </row>
    <row r="29" spans="1:5" x14ac:dyDescent="0.45">
      <c r="B29" s="1" t="s">
        <v>121</v>
      </c>
      <c r="C29" s="10" t="s">
        <v>122</v>
      </c>
    </row>
    <row r="30" spans="1:5" x14ac:dyDescent="0.45">
      <c r="B30" s="1" t="s">
        <v>123</v>
      </c>
      <c r="C30" s="10" t="s">
        <v>124</v>
      </c>
      <c r="D30" t="s">
        <v>125</v>
      </c>
    </row>
    <row r="31" spans="1:5" x14ac:dyDescent="0.45">
      <c r="B31" s="1" t="s">
        <v>134</v>
      </c>
      <c r="C31" s="10" t="s">
        <v>135</v>
      </c>
    </row>
  </sheetData>
  <mergeCells count="7">
    <mergeCell ref="A21:A24"/>
    <mergeCell ref="A25:A26"/>
    <mergeCell ref="A1:D1"/>
    <mergeCell ref="A3:D3"/>
    <mergeCell ref="A5:A9"/>
    <mergeCell ref="A10:A13"/>
    <mergeCell ref="A14:A20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1EE0F-EA24-42EB-9F15-2B0056CCCF2E}">
  <sheetPr>
    <pageSetUpPr fitToPage="1"/>
  </sheetPr>
  <dimension ref="A1:H31"/>
  <sheetViews>
    <sheetView topLeftCell="A2" zoomScale="47" workbookViewId="0">
      <selection activeCell="F24" sqref="F24"/>
    </sheetView>
  </sheetViews>
  <sheetFormatPr defaultRowHeight="14.25" x14ac:dyDescent="0.45"/>
  <cols>
    <col min="1" max="1" width="18.46484375" customWidth="1"/>
    <col min="2" max="2" width="36.9296875" style="1" customWidth="1"/>
    <col min="4" max="4" width="10.265625" customWidth="1"/>
    <col min="5" max="5" width="25.59765625" customWidth="1"/>
    <col min="6" max="6" width="33.73046875" customWidth="1"/>
    <col min="7" max="7" width="17.86328125" customWidth="1"/>
    <col min="8" max="8" width="26.33203125" customWidth="1"/>
  </cols>
  <sheetData>
    <row r="1" spans="1:8" ht="291" customHeight="1" x14ac:dyDescent="0.45">
      <c r="A1" s="33" t="s">
        <v>118</v>
      </c>
      <c r="B1" s="33"/>
      <c r="C1" s="33"/>
      <c r="D1" s="33"/>
    </row>
    <row r="2" spans="1:8" ht="14.65" customHeight="1" x14ac:dyDescent="0.45">
      <c r="A2" s="5" t="s">
        <v>119</v>
      </c>
      <c r="B2" s="5"/>
      <c r="C2" s="5"/>
      <c r="D2" s="5"/>
    </row>
    <row r="3" spans="1:8" ht="14.65" customHeight="1" x14ac:dyDescent="0.45">
      <c r="A3" s="23" t="s">
        <v>116</v>
      </c>
      <c r="B3" s="23"/>
      <c r="C3" s="23"/>
      <c r="D3" s="23"/>
      <c r="G3" s="1" t="s">
        <v>120</v>
      </c>
    </row>
    <row r="4" spans="1:8" ht="42.75" x14ac:dyDescent="0.45">
      <c r="A4" s="3" t="s">
        <v>0</v>
      </c>
      <c r="B4" s="6" t="s">
        <v>1</v>
      </c>
      <c r="C4" s="3" t="s">
        <v>2</v>
      </c>
      <c r="D4" s="3" t="s">
        <v>3</v>
      </c>
      <c r="E4" s="9" t="s">
        <v>127</v>
      </c>
      <c r="G4" s="1" t="s">
        <v>121</v>
      </c>
      <c r="H4" s="11" t="s">
        <v>122</v>
      </c>
    </row>
    <row r="5" spans="1:8" ht="42.75" x14ac:dyDescent="0.45">
      <c r="A5" s="31" t="s">
        <v>4</v>
      </c>
      <c r="B5" s="7" t="s">
        <v>5</v>
      </c>
      <c r="C5" s="2" t="s">
        <v>6</v>
      </c>
      <c r="D5" s="4">
        <v>7</v>
      </c>
      <c r="E5" s="12"/>
      <c r="G5" s="1" t="s">
        <v>123</v>
      </c>
      <c r="H5" s="11" t="s">
        <v>124</v>
      </c>
    </row>
    <row r="6" spans="1:8" ht="28.5" x14ac:dyDescent="0.45">
      <c r="A6" s="34"/>
      <c r="B6" s="7" t="s">
        <v>7</v>
      </c>
      <c r="C6" s="2" t="s">
        <v>28</v>
      </c>
      <c r="D6" s="4">
        <v>7</v>
      </c>
      <c r="E6" s="12" t="s">
        <v>128</v>
      </c>
    </row>
    <row r="7" spans="1:8" x14ac:dyDescent="0.45">
      <c r="A7" s="34"/>
      <c r="B7" s="7" t="s">
        <v>8</v>
      </c>
      <c r="C7" s="2" t="s">
        <v>29</v>
      </c>
      <c r="D7" s="13">
        <v>8</v>
      </c>
      <c r="E7" s="12"/>
    </row>
    <row r="8" spans="1:8" x14ac:dyDescent="0.45">
      <c r="A8" s="34"/>
      <c r="B8" s="7" t="s">
        <v>9</v>
      </c>
      <c r="C8" s="2" t="s">
        <v>30</v>
      </c>
      <c r="D8" s="4">
        <v>5</v>
      </c>
      <c r="E8" s="12" t="s">
        <v>129</v>
      </c>
    </row>
    <row r="9" spans="1:8" ht="28.5" x14ac:dyDescent="0.45">
      <c r="A9" s="32"/>
      <c r="B9" s="7" t="s">
        <v>10</v>
      </c>
      <c r="C9" s="2" t="s">
        <v>31</v>
      </c>
      <c r="D9" s="13">
        <v>8</v>
      </c>
      <c r="E9" s="12"/>
    </row>
    <row r="10" spans="1:8" ht="28.5" x14ac:dyDescent="0.45">
      <c r="A10" s="31" t="s">
        <v>49</v>
      </c>
      <c r="B10" s="7" t="s">
        <v>11</v>
      </c>
      <c r="C10" s="2" t="s">
        <v>32</v>
      </c>
      <c r="D10" s="4">
        <v>6</v>
      </c>
      <c r="E10" s="12"/>
    </row>
    <row r="11" spans="1:8" x14ac:dyDescent="0.45">
      <c r="A11" s="34"/>
      <c r="B11" s="7" t="s">
        <v>12</v>
      </c>
      <c r="C11" s="2" t="s">
        <v>33</v>
      </c>
      <c r="D11" s="4">
        <v>6</v>
      </c>
      <c r="E11" s="12"/>
    </row>
    <row r="12" spans="1:8" x14ac:dyDescent="0.45">
      <c r="A12" s="34"/>
      <c r="B12" s="7" t="s">
        <v>13</v>
      </c>
      <c r="C12" s="2" t="s">
        <v>34</v>
      </c>
      <c r="D12" s="4">
        <v>7</v>
      </c>
      <c r="E12" s="12" t="s">
        <v>130</v>
      </c>
    </row>
    <row r="13" spans="1:8" ht="28.5" x14ac:dyDescent="0.45">
      <c r="A13" s="32"/>
      <c r="B13" s="7" t="s">
        <v>14</v>
      </c>
      <c r="C13" s="2" t="s">
        <v>35</v>
      </c>
      <c r="D13" s="13">
        <v>8</v>
      </c>
      <c r="E13" s="12" t="s">
        <v>131</v>
      </c>
    </row>
    <row r="14" spans="1:8" x14ac:dyDescent="0.45">
      <c r="A14" s="31" t="s">
        <v>50</v>
      </c>
      <c r="B14" s="7" t="s">
        <v>15</v>
      </c>
      <c r="C14" s="2" t="s">
        <v>36</v>
      </c>
      <c r="D14" s="4">
        <v>6</v>
      </c>
      <c r="E14" s="12"/>
    </row>
    <row r="15" spans="1:8" x14ac:dyDescent="0.45">
      <c r="A15" s="34"/>
      <c r="B15" s="7" t="s">
        <v>16</v>
      </c>
      <c r="C15" s="2" t="s">
        <v>37</v>
      </c>
      <c r="D15" s="4">
        <v>7</v>
      </c>
      <c r="E15" s="12" t="s">
        <v>132</v>
      </c>
      <c r="F15" t="s">
        <v>133</v>
      </c>
    </row>
    <row r="16" spans="1:8" x14ac:dyDescent="0.45">
      <c r="A16" s="34"/>
      <c r="B16" s="7" t="s">
        <v>17</v>
      </c>
      <c r="C16" s="2" t="s">
        <v>38</v>
      </c>
      <c r="D16" s="13">
        <v>8</v>
      </c>
      <c r="E16" s="12"/>
    </row>
    <row r="17" spans="1:5" ht="28.5" x14ac:dyDescent="0.45">
      <c r="A17" s="34"/>
      <c r="B17" s="7" t="s">
        <v>18</v>
      </c>
      <c r="C17" s="2" t="s">
        <v>39</v>
      </c>
      <c r="D17" s="4">
        <v>7</v>
      </c>
      <c r="E17" s="12"/>
    </row>
    <row r="18" spans="1:5" x14ac:dyDescent="0.45">
      <c r="A18" s="34"/>
      <c r="B18" s="7" t="s">
        <v>19</v>
      </c>
      <c r="C18" s="2" t="s">
        <v>40</v>
      </c>
      <c r="D18" s="4">
        <v>6</v>
      </c>
      <c r="E18" s="12"/>
    </row>
    <row r="19" spans="1:5" x14ac:dyDescent="0.45">
      <c r="A19" s="34"/>
      <c r="B19" s="7" t="s">
        <v>20</v>
      </c>
      <c r="C19" s="2" t="s">
        <v>41</v>
      </c>
      <c r="D19" s="4">
        <v>7</v>
      </c>
      <c r="E19" s="12"/>
    </row>
    <row r="20" spans="1:5" ht="28.5" x14ac:dyDescent="0.45">
      <c r="A20" s="32"/>
      <c r="B20" s="7" t="s">
        <v>21</v>
      </c>
      <c r="C20" s="2" t="s">
        <v>42</v>
      </c>
      <c r="D20" s="13">
        <v>9</v>
      </c>
      <c r="E20" s="12"/>
    </row>
    <row r="21" spans="1:5" ht="28.5" x14ac:dyDescent="0.45">
      <c r="A21" s="35" t="s">
        <v>51</v>
      </c>
      <c r="B21" s="7" t="s">
        <v>22</v>
      </c>
      <c r="C21" s="2" t="s">
        <v>43</v>
      </c>
      <c r="D21" s="4">
        <v>7</v>
      </c>
      <c r="E21" s="12"/>
    </row>
    <row r="22" spans="1:5" ht="28.5" x14ac:dyDescent="0.45">
      <c r="A22" s="36"/>
      <c r="B22" s="7" t="s">
        <v>23</v>
      </c>
      <c r="C22" s="2" t="s">
        <v>44</v>
      </c>
      <c r="D22" s="4">
        <v>6</v>
      </c>
      <c r="E22" s="12"/>
    </row>
    <row r="23" spans="1:5" x14ac:dyDescent="0.45">
      <c r="A23" s="36"/>
      <c r="B23" s="7" t="s">
        <v>24</v>
      </c>
      <c r="C23" s="2" t="s">
        <v>45</v>
      </c>
      <c r="D23" s="4">
        <v>5</v>
      </c>
      <c r="E23" s="12"/>
    </row>
    <row r="24" spans="1:5" x14ac:dyDescent="0.45">
      <c r="A24" s="37"/>
      <c r="B24" s="7" t="s">
        <v>25</v>
      </c>
      <c r="C24" s="2" t="s">
        <v>46</v>
      </c>
      <c r="D24" s="4">
        <v>7</v>
      </c>
      <c r="E24" s="12"/>
    </row>
    <row r="25" spans="1:5" x14ac:dyDescent="0.45">
      <c r="A25" s="31" t="s">
        <v>52</v>
      </c>
      <c r="B25" s="7" t="s">
        <v>26</v>
      </c>
      <c r="C25" s="2" t="s">
        <v>47</v>
      </c>
      <c r="D25" s="4">
        <v>7</v>
      </c>
      <c r="E25" s="12"/>
    </row>
    <row r="26" spans="1:5" x14ac:dyDescent="0.45">
      <c r="A26" s="32"/>
      <c r="B26" s="7" t="s">
        <v>27</v>
      </c>
      <c r="C26" s="2" t="s">
        <v>48</v>
      </c>
      <c r="D26" s="4">
        <v>6</v>
      </c>
      <c r="E26" s="12"/>
    </row>
    <row r="27" spans="1:5" x14ac:dyDescent="0.45">
      <c r="B27" s="8"/>
    </row>
    <row r="28" spans="1:5" x14ac:dyDescent="0.45">
      <c r="B28" s="1" t="s">
        <v>120</v>
      </c>
    </row>
    <row r="29" spans="1:5" ht="128.25" x14ac:dyDescent="0.45">
      <c r="B29" s="1" t="s">
        <v>121</v>
      </c>
      <c r="C29" s="11" t="s">
        <v>122</v>
      </c>
    </row>
    <row r="30" spans="1:5" ht="114" x14ac:dyDescent="0.45">
      <c r="B30" s="1" t="s">
        <v>123</v>
      </c>
      <c r="C30" s="11" t="s">
        <v>124</v>
      </c>
      <c r="D30" t="s">
        <v>125</v>
      </c>
    </row>
    <row r="31" spans="1:5" ht="57" x14ac:dyDescent="0.45">
      <c r="B31" s="1" t="s">
        <v>134</v>
      </c>
      <c r="C31" s="11" t="s">
        <v>135</v>
      </c>
    </row>
  </sheetData>
  <mergeCells count="7">
    <mergeCell ref="A25:A26"/>
    <mergeCell ref="A1:D1"/>
    <mergeCell ref="A3:D3"/>
    <mergeCell ref="A5:A9"/>
    <mergeCell ref="A10:A13"/>
    <mergeCell ref="A14:A20"/>
    <mergeCell ref="A21:A24"/>
  </mergeCells>
  <pageMargins left="0.7" right="0.7" top="0.75" bottom="0.75" header="0.3" footer="0.3"/>
  <pageSetup scale="8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8316B-A19A-44FE-8809-B0C5D7745649}">
  <dimension ref="A1:E43"/>
  <sheetViews>
    <sheetView topLeftCell="A2" zoomScale="88" workbookViewId="0">
      <selection activeCell="A16" sqref="A16:B16"/>
    </sheetView>
  </sheetViews>
  <sheetFormatPr defaultRowHeight="14.25" x14ac:dyDescent="0.45"/>
  <cols>
    <col min="1" max="1" width="18.46484375" customWidth="1"/>
    <col min="2" max="2" width="36.9296875" style="1" customWidth="1"/>
    <col min="4" max="4" width="10.265625" customWidth="1"/>
    <col min="5" max="5" width="36.53125" customWidth="1"/>
  </cols>
  <sheetData>
    <row r="1" spans="1:5" ht="298.5" customHeight="1" x14ac:dyDescent="0.45">
      <c r="A1" s="33" t="s">
        <v>117</v>
      </c>
      <c r="B1" s="33"/>
      <c r="C1" s="33"/>
      <c r="D1" s="33"/>
    </row>
    <row r="2" spans="1:5" ht="14.65" customHeight="1" x14ac:dyDescent="0.45">
      <c r="A2" s="5"/>
      <c r="B2" s="5"/>
      <c r="C2" s="5"/>
      <c r="D2" s="5"/>
    </row>
    <row r="3" spans="1:5" ht="14.65" customHeight="1" x14ac:dyDescent="0.45">
      <c r="A3" s="23" t="s">
        <v>115</v>
      </c>
      <c r="B3" s="23"/>
      <c r="C3" s="23"/>
      <c r="D3" s="23"/>
    </row>
    <row r="4" spans="1:5" x14ac:dyDescent="0.45">
      <c r="A4" s="39" t="s">
        <v>80</v>
      </c>
      <c r="B4" s="40"/>
      <c r="C4" s="3" t="s">
        <v>2</v>
      </c>
      <c r="D4" s="3" t="s">
        <v>77</v>
      </c>
      <c r="E4" s="11" t="s">
        <v>127</v>
      </c>
    </row>
    <row r="5" spans="1:5" x14ac:dyDescent="0.45">
      <c r="A5" s="38" t="s">
        <v>91</v>
      </c>
      <c r="B5" s="38"/>
      <c r="C5" s="2" t="s">
        <v>53</v>
      </c>
      <c r="D5" s="4"/>
      <c r="E5" s="11"/>
    </row>
    <row r="6" spans="1:5" x14ac:dyDescent="0.45">
      <c r="A6" s="38" t="s">
        <v>92</v>
      </c>
      <c r="B6" s="38"/>
      <c r="C6" s="2" t="s">
        <v>54</v>
      </c>
      <c r="D6" s="4"/>
      <c r="E6" s="11"/>
    </row>
    <row r="7" spans="1:5" x14ac:dyDescent="0.45">
      <c r="A7" s="38" t="s">
        <v>93</v>
      </c>
      <c r="B7" s="38"/>
      <c r="C7" s="2" t="s">
        <v>55</v>
      </c>
      <c r="D7" s="4"/>
      <c r="E7" s="11"/>
    </row>
    <row r="8" spans="1:5" x14ac:dyDescent="0.45">
      <c r="A8" s="38" t="s">
        <v>94</v>
      </c>
      <c r="B8" s="38"/>
      <c r="C8" s="2" t="s">
        <v>56</v>
      </c>
      <c r="D8" s="4"/>
      <c r="E8" s="11"/>
    </row>
    <row r="9" spans="1:5" x14ac:dyDescent="0.45">
      <c r="A9" s="38" t="s">
        <v>95</v>
      </c>
      <c r="B9" s="38"/>
      <c r="C9" s="2" t="s">
        <v>57</v>
      </c>
      <c r="D9" s="4"/>
      <c r="E9" s="11"/>
    </row>
    <row r="10" spans="1:5" x14ac:dyDescent="0.45">
      <c r="A10" s="38" t="s">
        <v>96</v>
      </c>
      <c r="B10" s="38"/>
      <c r="C10" s="2" t="s">
        <v>58</v>
      </c>
      <c r="D10" s="4"/>
      <c r="E10" s="11"/>
    </row>
    <row r="11" spans="1:5" x14ac:dyDescent="0.45">
      <c r="A11" s="38" t="s">
        <v>97</v>
      </c>
      <c r="B11" s="38"/>
      <c r="C11" s="2" t="s">
        <v>59</v>
      </c>
      <c r="D11" s="4"/>
      <c r="E11" s="11"/>
    </row>
    <row r="12" spans="1:5" x14ac:dyDescent="0.45">
      <c r="A12" s="38" t="s">
        <v>98</v>
      </c>
      <c r="B12" s="38"/>
      <c r="C12" s="2" t="s">
        <v>60</v>
      </c>
      <c r="D12" s="4"/>
      <c r="E12" s="11"/>
    </row>
    <row r="13" spans="1:5" ht="28.5" x14ac:dyDescent="0.45">
      <c r="A13" s="38" t="s">
        <v>99</v>
      </c>
      <c r="B13" s="38"/>
      <c r="C13" s="2" t="s">
        <v>61</v>
      </c>
      <c r="D13" s="4"/>
      <c r="E13" s="11" t="s">
        <v>126</v>
      </c>
    </row>
    <row r="14" spans="1:5" ht="28.5" x14ac:dyDescent="0.45">
      <c r="A14" s="38" t="s">
        <v>100</v>
      </c>
      <c r="B14" s="38"/>
      <c r="C14" s="2" t="s">
        <v>62</v>
      </c>
      <c r="D14" s="4"/>
      <c r="E14" s="11" t="s">
        <v>143</v>
      </c>
    </row>
    <row r="15" spans="1:5" x14ac:dyDescent="0.45">
      <c r="A15" s="38" t="s">
        <v>101</v>
      </c>
      <c r="B15" s="38"/>
      <c r="C15" s="2" t="s">
        <v>63</v>
      </c>
      <c r="D15" s="4"/>
      <c r="E15" s="11"/>
    </row>
    <row r="16" spans="1:5" x14ac:dyDescent="0.45">
      <c r="A16" s="38" t="s">
        <v>102</v>
      </c>
      <c r="B16" s="38"/>
      <c r="C16" s="2" t="s">
        <v>64</v>
      </c>
      <c r="D16" s="4"/>
      <c r="E16" s="11"/>
    </row>
    <row r="17" spans="1:5" x14ac:dyDescent="0.45">
      <c r="A17" s="38" t="s">
        <v>103</v>
      </c>
      <c r="B17" s="38"/>
      <c r="C17" s="2" t="s">
        <v>65</v>
      </c>
      <c r="D17" s="4"/>
      <c r="E17" s="11"/>
    </row>
    <row r="18" spans="1:5" x14ac:dyDescent="0.45">
      <c r="A18" s="38" t="s">
        <v>104</v>
      </c>
      <c r="B18" s="38"/>
      <c r="C18" s="2" t="s">
        <v>66</v>
      </c>
      <c r="D18" s="4"/>
      <c r="E18" s="11"/>
    </row>
    <row r="19" spans="1:5" x14ac:dyDescent="0.45">
      <c r="A19" s="38" t="s">
        <v>105</v>
      </c>
      <c r="B19" s="38"/>
      <c r="C19" s="2" t="s">
        <v>67</v>
      </c>
      <c r="D19" s="4"/>
      <c r="E19" s="11"/>
    </row>
    <row r="20" spans="1:5" x14ac:dyDescent="0.45">
      <c r="A20" s="38" t="s">
        <v>106</v>
      </c>
      <c r="B20" s="38"/>
      <c r="C20" s="2" t="s">
        <v>68</v>
      </c>
      <c r="D20" s="4"/>
      <c r="E20" s="11"/>
    </row>
    <row r="21" spans="1:5" x14ac:dyDescent="0.45">
      <c r="A21" s="38" t="s">
        <v>107</v>
      </c>
      <c r="B21" s="38"/>
      <c r="C21" s="2" t="s">
        <v>69</v>
      </c>
      <c r="D21" s="4"/>
      <c r="E21" s="11"/>
    </row>
    <row r="22" spans="1:5" x14ac:dyDescent="0.45">
      <c r="A22" s="38" t="s">
        <v>108</v>
      </c>
      <c r="B22" s="38"/>
      <c r="C22" s="2" t="s">
        <v>70</v>
      </c>
      <c r="D22" s="4"/>
      <c r="E22" s="11"/>
    </row>
    <row r="23" spans="1:5" x14ac:dyDescent="0.45">
      <c r="A23" s="38" t="s">
        <v>109</v>
      </c>
      <c r="B23" s="38"/>
      <c r="C23" s="2" t="s">
        <v>71</v>
      </c>
      <c r="D23" s="4"/>
      <c r="E23" s="11" t="s">
        <v>144</v>
      </c>
    </row>
    <row r="24" spans="1:5" x14ac:dyDescent="0.45">
      <c r="A24" s="38" t="s">
        <v>110</v>
      </c>
      <c r="B24" s="38"/>
      <c r="C24" s="2" t="s">
        <v>72</v>
      </c>
      <c r="D24" s="4"/>
      <c r="E24" s="11"/>
    </row>
    <row r="25" spans="1:5" x14ac:dyDescent="0.45">
      <c r="A25" s="42" t="s">
        <v>111</v>
      </c>
      <c r="B25" s="42"/>
      <c r="C25" s="2" t="s">
        <v>73</v>
      </c>
      <c r="D25" s="4"/>
      <c r="E25" s="11"/>
    </row>
    <row r="26" spans="1:5" x14ac:dyDescent="0.45">
      <c r="A26" s="38" t="s">
        <v>112</v>
      </c>
      <c r="B26" s="38"/>
      <c r="C26" s="2" t="s">
        <v>74</v>
      </c>
      <c r="D26" s="4"/>
      <c r="E26" s="11"/>
    </row>
    <row r="27" spans="1:5" x14ac:dyDescent="0.45">
      <c r="A27" s="38" t="s">
        <v>113</v>
      </c>
      <c r="B27" s="38"/>
      <c r="C27" s="2" t="s">
        <v>75</v>
      </c>
      <c r="D27" s="4"/>
      <c r="E27" s="11"/>
    </row>
    <row r="28" spans="1:5" x14ac:dyDescent="0.45">
      <c r="A28" s="41" t="s">
        <v>114</v>
      </c>
      <c r="B28" s="41"/>
      <c r="C28" s="2" t="s">
        <v>76</v>
      </c>
      <c r="D28" s="4"/>
      <c r="E28" s="11"/>
    </row>
    <row r="30" spans="1:5" x14ac:dyDescent="0.45">
      <c r="A30" t="s">
        <v>136</v>
      </c>
    </row>
    <row r="31" spans="1:5" ht="28.5" x14ac:dyDescent="0.45">
      <c r="A31" t="s">
        <v>137</v>
      </c>
      <c r="B31" s="1" t="s">
        <v>138</v>
      </c>
    </row>
    <row r="32" spans="1:5" ht="28.5" x14ac:dyDescent="0.45">
      <c r="A32" t="s">
        <v>139</v>
      </c>
      <c r="B32" s="1" t="s">
        <v>140</v>
      </c>
    </row>
    <row r="34" spans="1:3" ht="42.75" x14ac:dyDescent="0.45">
      <c r="A34" t="s">
        <v>141</v>
      </c>
      <c r="B34" s="1" t="s">
        <v>142</v>
      </c>
    </row>
    <row r="37" spans="1:3" x14ac:dyDescent="0.45">
      <c r="A37" t="s">
        <v>145</v>
      </c>
      <c r="B37" s="1" t="s">
        <v>146</v>
      </c>
    </row>
    <row r="38" spans="1:3" x14ac:dyDescent="0.45">
      <c r="A38" t="s">
        <v>147</v>
      </c>
      <c r="B38" s="1" t="s">
        <v>148</v>
      </c>
    </row>
    <row r="39" spans="1:3" x14ac:dyDescent="0.45">
      <c r="A39" t="s">
        <v>149</v>
      </c>
      <c r="B39" s="1" t="s">
        <v>151</v>
      </c>
      <c r="C39" t="s">
        <v>150</v>
      </c>
    </row>
    <row r="40" spans="1:3" x14ac:dyDescent="0.45">
      <c r="A40" t="s">
        <v>152</v>
      </c>
      <c r="B40" s="1" t="s">
        <v>153</v>
      </c>
    </row>
    <row r="41" spans="1:3" x14ac:dyDescent="0.45">
      <c r="B41" s="1" t="s">
        <v>154</v>
      </c>
    </row>
    <row r="42" spans="1:3" ht="28.5" x14ac:dyDescent="0.45">
      <c r="A42" t="s">
        <v>134</v>
      </c>
      <c r="B42" s="1" t="s">
        <v>155</v>
      </c>
    </row>
    <row r="43" spans="1:3" ht="28.5" x14ac:dyDescent="0.45">
      <c r="A43" t="s">
        <v>156</v>
      </c>
      <c r="B43" s="1" t="s">
        <v>157</v>
      </c>
    </row>
  </sheetData>
  <mergeCells count="27">
    <mergeCell ref="A16:B16"/>
    <mergeCell ref="A28:B28"/>
    <mergeCell ref="A25:B25"/>
    <mergeCell ref="A26:B26"/>
    <mergeCell ref="A27:B27"/>
    <mergeCell ref="A19:B19"/>
    <mergeCell ref="A20:B20"/>
    <mergeCell ref="A22:B22"/>
    <mergeCell ref="A21:B21"/>
    <mergeCell ref="A23:B23"/>
    <mergeCell ref="A24:B24"/>
    <mergeCell ref="A1:D1"/>
    <mergeCell ref="A3:D3"/>
    <mergeCell ref="A18:B18"/>
    <mergeCell ref="A17:B17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E2048-B085-4E65-8C42-0E5E7849A0E5}">
  <dimension ref="A1:E43"/>
  <sheetViews>
    <sheetView topLeftCell="A16" zoomScale="90" workbookViewId="0">
      <selection activeCell="E1" sqref="E1"/>
    </sheetView>
  </sheetViews>
  <sheetFormatPr defaultRowHeight="14.25" x14ac:dyDescent="0.45"/>
  <cols>
    <col min="1" max="1" width="18.46484375" customWidth="1"/>
    <col min="2" max="2" width="36.9296875" style="1" customWidth="1"/>
    <col min="4" max="4" width="10.265625" customWidth="1"/>
    <col min="5" max="5" width="36.53125" customWidth="1"/>
  </cols>
  <sheetData>
    <row r="1" spans="1:5" ht="298.5" customHeight="1" x14ac:dyDescent="0.45">
      <c r="A1" s="33" t="s">
        <v>117</v>
      </c>
      <c r="B1" s="33"/>
      <c r="C1" s="33"/>
      <c r="D1" s="33"/>
    </row>
    <row r="2" spans="1:5" ht="14.65" customHeight="1" x14ac:dyDescent="0.45">
      <c r="A2" s="5"/>
      <c r="B2" s="5"/>
      <c r="C2" s="5"/>
      <c r="D2" s="5"/>
    </row>
    <row r="3" spans="1:5" ht="14.65" customHeight="1" x14ac:dyDescent="0.45">
      <c r="A3" s="23" t="s">
        <v>115</v>
      </c>
      <c r="B3" s="23"/>
      <c r="C3" s="23"/>
      <c r="D3" s="23"/>
    </row>
    <row r="4" spans="1:5" x14ac:dyDescent="0.45">
      <c r="A4" s="39" t="s">
        <v>80</v>
      </c>
      <c r="B4" s="40"/>
      <c r="C4" s="3" t="s">
        <v>2</v>
      </c>
      <c r="D4" s="3" t="s">
        <v>77</v>
      </c>
      <c r="E4" s="11" t="s">
        <v>127</v>
      </c>
    </row>
    <row r="5" spans="1:5" x14ac:dyDescent="0.45">
      <c r="A5" s="38" t="s">
        <v>91</v>
      </c>
      <c r="B5" s="38"/>
      <c r="C5" s="2" t="s">
        <v>53</v>
      </c>
      <c r="D5" s="4">
        <v>4</v>
      </c>
      <c r="E5" s="11"/>
    </row>
    <row r="6" spans="1:5" x14ac:dyDescent="0.45">
      <c r="A6" s="38" t="s">
        <v>92</v>
      </c>
      <c r="B6" s="38"/>
      <c r="C6" s="2" t="s">
        <v>54</v>
      </c>
      <c r="D6" s="4">
        <v>4</v>
      </c>
      <c r="E6" s="11"/>
    </row>
    <row r="7" spans="1:5" x14ac:dyDescent="0.45">
      <c r="A7" s="38" t="s">
        <v>93</v>
      </c>
      <c r="B7" s="38"/>
      <c r="C7" s="2" t="s">
        <v>55</v>
      </c>
      <c r="D7" s="4">
        <v>3</v>
      </c>
      <c r="E7" s="11"/>
    </row>
    <row r="8" spans="1:5" x14ac:dyDescent="0.45">
      <c r="A8" s="38" t="s">
        <v>94</v>
      </c>
      <c r="B8" s="38"/>
      <c r="C8" s="2" t="s">
        <v>56</v>
      </c>
      <c r="D8" s="4">
        <v>4</v>
      </c>
      <c r="E8" s="11"/>
    </row>
    <row r="9" spans="1:5" x14ac:dyDescent="0.45">
      <c r="A9" s="38" t="s">
        <v>95</v>
      </c>
      <c r="B9" s="38"/>
      <c r="C9" s="2" t="s">
        <v>57</v>
      </c>
      <c r="D9" s="13">
        <v>7</v>
      </c>
      <c r="E9" s="11"/>
    </row>
    <row r="10" spans="1:5" x14ac:dyDescent="0.45">
      <c r="A10" s="38" t="s">
        <v>96</v>
      </c>
      <c r="B10" s="38"/>
      <c r="C10" s="2" t="s">
        <v>58</v>
      </c>
      <c r="D10" s="4">
        <v>3</v>
      </c>
      <c r="E10" s="11"/>
    </row>
    <row r="11" spans="1:5" x14ac:dyDescent="0.45">
      <c r="A11" s="38" t="s">
        <v>97</v>
      </c>
      <c r="B11" s="38"/>
      <c r="C11" s="2" t="s">
        <v>59</v>
      </c>
      <c r="D11" s="13">
        <v>7</v>
      </c>
      <c r="E11" s="11"/>
    </row>
    <row r="12" spans="1:5" x14ac:dyDescent="0.45">
      <c r="A12" s="38" t="s">
        <v>98</v>
      </c>
      <c r="B12" s="38"/>
      <c r="C12" s="2" t="s">
        <v>60</v>
      </c>
      <c r="D12" s="4">
        <v>4</v>
      </c>
      <c r="E12" s="11"/>
    </row>
    <row r="13" spans="1:5" ht="28.5" x14ac:dyDescent="0.45">
      <c r="A13" s="38" t="s">
        <v>99</v>
      </c>
      <c r="B13" s="38"/>
      <c r="C13" s="2" t="s">
        <v>61</v>
      </c>
      <c r="D13" s="4">
        <v>2</v>
      </c>
      <c r="E13" s="11" t="s">
        <v>126</v>
      </c>
    </row>
    <row r="14" spans="1:5" ht="28.5" x14ac:dyDescent="0.45">
      <c r="A14" s="38" t="s">
        <v>100</v>
      </c>
      <c r="B14" s="38"/>
      <c r="C14" s="2" t="s">
        <v>62</v>
      </c>
      <c r="D14" s="4">
        <v>6</v>
      </c>
      <c r="E14" s="11" t="s">
        <v>143</v>
      </c>
    </row>
    <row r="15" spans="1:5" x14ac:dyDescent="0.45">
      <c r="A15" s="38" t="s">
        <v>101</v>
      </c>
      <c r="B15" s="38"/>
      <c r="C15" s="2" t="s">
        <v>63</v>
      </c>
      <c r="D15" s="4">
        <v>3</v>
      </c>
      <c r="E15" s="11"/>
    </row>
    <row r="16" spans="1:5" x14ac:dyDescent="0.45">
      <c r="A16" s="38" t="s">
        <v>102</v>
      </c>
      <c r="B16" s="38"/>
      <c r="C16" s="2" t="s">
        <v>64</v>
      </c>
      <c r="D16" s="4">
        <v>3</v>
      </c>
      <c r="E16" s="11"/>
    </row>
    <row r="17" spans="1:5" x14ac:dyDescent="0.45">
      <c r="A17" s="38" t="s">
        <v>103</v>
      </c>
      <c r="B17" s="38"/>
      <c r="C17" s="2" t="s">
        <v>65</v>
      </c>
      <c r="D17" s="4">
        <v>4</v>
      </c>
      <c r="E17" s="11"/>
    </row>
    <row r="18" spans="1:5" x14ac:dyDescent="0.45">
      <c r="A18" s="38" t="s">
        <v>104</v>
      </c>
      <c r="B18" s="38"/>
      <c r="C18" s="2" t="s">
        <v>66</v>
      </c>
      <c r="D18" s="4">
        <v>4</v>
      </c>
      <c r="E18" s="11"/>
    </row>
    <row r="19" spans="1:5" x14ac:dyDescent="0.45">
      <c r="A19" s="38" t="s">
        <v>105</v>
      </c>
      <c r="B19" s="38"/>
      <c r="C19" s="2" t="s">
        <v>67</v>
      </c>
      <c r="D19" s="4">
        <v>4</v>
      </c>
      <c r="E19" s="11"/>
    </row>
    <row r="20" spans="1:5" x14ac:dyDescent="0.45">
      <c r="A20" s="38" t="s">
        <v>106</v>
      </c>
      <c r="B20" s="38"/>
      <c r="C20" s="2" t="s">
        <v>68</v>
      </c>
      <c r="D20" s="13">
        <v>7</v>
      </c>
      <c r="E20" s="11"/>
    </row>
    <row r="21" spans="1:5" x14ac:dyDescent="0.45">
      <c r="A21" s="38" t="s">
        <v>107</v>
      </c>
      <c r="B21" s="38"/>
      <c r="C21" s="2" t="s">
        <v>69</v>
      </c>
      <c r="D21" s="4">
        <v>3</v>
      </c>
      <c r="E21" s="11"/>
    </row>
    <row r="22" spans="1:5" x14ac:dyDescent="0.45">
      <c r="A22" s="38" t="s">
        <v>108</v>
      </c>
      <c r="B22" s="38"/>
      <c r="C22" s="2" t="s">
        <v>70</v>
      </c>
      <c r="D22" s="4">
        <v>3</v>
      </c>
      <c r="E22" s="11"/>
    </row>
    <row r="23" spans="1:5" x14ac:dyDescent="0.45">
      <c r="A23" s="38" t="s">
        <v>109</v>
      </c>
      <c r="B23" s="38"/>
      <c r="C23" s="2" t="s">
        <v>71</v>
      </c>
      <c r="D23" s="4">
        <v>5</v>
      </c>
      <c r="E23" s="11" t="s">
        <v>144</v>
      </c>
    </row>
    <row r="24" spans="1:5" x14ac:dyDescent="0.45">
      <c r="A24" s="38" t="s">
        <v>110</v>
      </c>
      <c r="B24" s="38"/>
      <c r="C24" s="2" t="s">
        <v>72</v>
      </c>
      <c r="D24" s="4">
        <v>4</v>
      </c>
      <c r="E24" s="11"/>
    </row>
    <row r="25" spans="1:5" x14ac:dyDescent="0.45">
      <c r="A25" s="42" t="s">
        <v>111</v>
      </c>
      <c r="B25" s="42"/>
      <c r="C25" s="2" t="s">
        <v>73</v>
      </c>
      <c r="D25" s="4">
        <v>5</v>
      </c>
      <c r="E25" s="11"/>
    </row>
    <row r="26" spans="1:5" x14ac:dyDescent="0.45">
      <c r="A26" s="38" t="s">
        <v>112</v>
      </c>
      <c r="B26" s="38"/>
      <c r="C26" s="2" t="s">
        <v>74</v>
      </c>
      <c r="D26" s="4">
        <v>6</v>
      </c>
      <c r="E26" s="11"/>
    </row>
    <row r="27" spans="1:5" x14ac:dyDescent="0.45">
      <c r="A27" s="38" t="s">
        <v>113</v>
      </c>
      <c r="B27" s="38"/>
      <c r="C27" s="2" t="s">
        <v>75</v>
      </c>
      <c r="D27" s="4">
        <v>5</v>
      </c>
      <c r="E27" s="11"/>
    </row>
    <row r="28" spans="1:5" x14ac:dyDescent="0.45">
      <c r="A28" s="41" t="s">
        <v>114</v>
      </c>
      <c r="B28" s="41"/>
      <c r="C28" s="2" t="s">
        <v>76</v>
      </c>
      <c r="D28" s="4">
        <v>3</v>
      </c>
      <c r="E28" s="11"/>
    </row>
    <row r="30" spans="1:5" x14ac:dyDescent="0.45">
      <c r="A30" t="s">
        <v>136</v>
      </c>
    </row>
    <row r="31" spans="1:5" ht="28.5" x14ac:dyDescent="0.45">
      <c r="A31" t="s">
        <v>137</v>
      </c>
      <c r="B31" s="1" t="s">
        <v>138</v>
      </c>
    </row>
    <row r="32" spans="1:5" ht="28.5" x14ac:dyDescent="0.45">
      <c r="A32" t="s">
        <v>139</v>
      </c>
      <c r="B32" s="1" t="s">
        <v>140</v>
      </c>
    </row>
    <row r="34" spans="1:3" ht="42.75" x14ac:dyDescent="0.45">
      <c r="A34" t="s">
        <v>141</v>
      </c>
      <c r="B34" s="1" t="s">
        <v>142</v>
      </c>
    </row>
    <row r="37" spans="1:3" x14ac:dyDescent="0.45">
      <c r="A37" t="s">
        <v>145</v>
      </c>
      <c r="B37" s="1" t="s">
        <v>146</v>
      </c>
    </row>
    <row r="38" spans="1:3" x14ac:dyDescent="0.45">
      <c r="A38" t="s">
        <v>147</v>
      </c>
      <c r="B38" s="1" t="s">
        <v>148</v>
      </c>
    </row>
    <row r="39" spans="1:3" x14ac:dyDescent="0.45">
      <c r="A39" t="s">
        <v>149</v>
      </c>
      <c r="B39" s="1" t="s">
        <v>151</v>
      </c>
      <c r="C39" t="s">
        <v>150</v>
      </c>
    </row>
    <row r="40" spans="1:3" x14ac:dyDescent="0.45">
      <c r="A40" t="s">
        <v>152</v>
      </c>
      <c r="B40" s="1" t="s">
        <v>153</v>
      </c>
    </row>
    <row r="41" spans="1:3" x14ac:dyDescent="0.45">
      <c r="B41" s="1" t="s">
        <v>154</v>
      </c>
    </row>
    <row r="42" spans="1:3" ht="28.5" x14ac:dyDescent="0.45">
      <c r="A42" t="s">
        <v>134</v>
      </c>
      <c r="B42" s="1" t="s">
        <v>155</v>
      </c>
    </row>
    <row r="43" spans="1:3" x14ac:dyDescent="0.45">
      <c r="A43" t="s">
        <v>156</v>
      </c>
    </row>
  </sheetData>
  <mergeCells count="27">
    <mergeCell ref="A26:B26"/>
    <mergeCell ref="A27:B27"/>
    <mergeCell ref="A28:B28"/>
    <mergeCell ref="A20:B20"/>
    <mergeCell ref="A21:B21"/>
    <mergeCell ref="A22:B22"/>
    <mergeCell ref="A23:B23"/>
    <mergeCell ref="A24:B24"/>
    <mergeCell ref="A25:B25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7:B7"/>
    <mergeCell ref="A1:D1"/>
    <mergeCell ref="A3:D3"/>
    <mergeCell ref="A4:B4"/>
    <mergeCell ref="A5:B5"/>
    <mergeCell ref="A6:B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19A99-F63B-49B1-ACA9-3A79540F2F45}">
  <dimension ref="A1:AG40"/>
  <sheetViews>
    <sheetView topLeftCell="A17" zoomScale="104" zoomScaleNormal="64" workbookViewId="0">
      <selection activeCell="AE41" sqref="AE41"/>
    </sheetView>
  </sheetViews>
  <sheetFormatPr defaultRowHeight="14.25" x14ac:dyDescent="0.45"/>
  <cols>
    <col min="1" max="1" width="14.1328125" customWidth="1"/>
    <col min="2" max="2" width="12.73046875" customWidth="1"/>
    <col min="27" max="27" width="7" customWidth="1"/>
    <col min="30" max="30" width="9.796875" customWidth="1"/>
    <col min="32" max="32" width="17.265625" customWidth="1"/>
    <col min="33" max="33" width="15.53125" customWidth="1"/>
  </cols>
  <sheetData>
    <row r="1" spans="1:33" ht="18" x14ac:dyDescent="0.55000000000000004">
      <c r="A1" s="43" t="s">
        <v>89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33" x14ac:dyDescent="0.45">
      <c r="A2" s="44" t="s">
        <v>88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33" x14ac:dyDescent="0.45">
      <c r="A3" s="44" t="s">
        <v>84</v>
      </c>
      <c r="B3" s="44"/>
      <c r="C3" s="44"/>
    </row>
    <row r="4" spans="1:33" x14ac:dyDescent="0.45">
      <c r="A4" s="44" t="s">
        <v>85</v>
      </c>
      <c r="B4" s="44"/>
      <c r="C4" s="44"/>
    </row>
    <row r="5" spans="1:33" x14ac:dyDescent="0.45">
      <c r="A5" s="44" t="s">
        <v>86</v>
      </c>
      <c r="B5" s="44"/>
      <c r="C5" s="44"/>
    </row>
    <row r="6" spans="1:33" x14ac:dyDescent="0.45">
      <c r="A6" s="44" t="s">
        <v>87</v>
      </c>
      <c r="B6" s="44"/>
      <c r="C6" s="44"/>
    </row>
    <row r="7" spans="1:33" x14ac:dyDescent="0.45">
      <c r="A7" s="47" t="s">
        <v>90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</row>
    <row r="8" spans="1:33" x14ac:dyDescent="0.45">
      <c r="A8" s="30" t="s">
        <v>82</v>
      </c>
      <c r="B8" s="26" t="s">
        <v>83</v>
      </c>
      <c r="C8" s="29" t="s">
        <v>81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6" t="s">
        <v>3</v>
      </c>
      <c r="AD8" s="46" t="s">
        <v>158</v>
      </c>
      <c r="AE8" s="46" t="s">
        <v>78</v>
      </c>
      <c r="AF8" s="46" t="s">
        <v>159</v>
      </c>
      <c r="AG8" s="46" t="s">
        <v>160</v>
      </c>
    </row>
    <row r="9" spans="1:33" x14ac:dyDescent="0.45">
      <c r="A9" s="30"/>
      <c r="B9" s="45"/>
      <c r="C9" s="3" t="s">
        <v>53</v>
      </c>
      <c r="D9" s="3" t="s">
        <v>54</v>
      </c>
      <c r="E9" s="3" t="s">
        <v>55</v>
      </c>
      <c r="F9" s="3" t="s">
        <v>56</v>
      </c>
      <c r="G9" s="3" t="s">
        <v>57</v>
      </c>
      <c r="H9" s="3" t="s">
        <v>58</v>
      </c>
      <c r="I9" s="3" t="s">
        <v>59</v>
      </c>
      <c r="J9" s="3" t="s">
        <v>60</v>
      </c>
      <c r="K9" s="3" t="s">
        <v>61</v>
      </c>
      <c r="L9" s="3" t="s">
        <v>62</v>
      </c>
      <c r="M9" s="3" t="s">
        <v>63</v>
      </c>
      <c r="N9" s="3" t="s">
        <v>64</v>
      </c>
      <c r="O9" s="3" t="s">
        <v>65</v>
      </c>
      <c r="P9" s="3" t="s">
        <v>66</v>
      </c>
      <c r="Q9" s="3" t="s">
        <v>67</v>
      </c>
      <c r="R9" s="3" t="s">
        <v>68</v>
      </c>
      <c r="S9" s="3" t="s">
        <v>69</v>
      </c>
      <c r="T9" s="3" t="s">
        <v>70</v>
      </c>
      <c r="U9" s="3" t="s">
        <v>71</v>
      </c>
      <c r="V9" s="3" t="s">
        <v>72</v>
      </c>
      <c r="W9" s="3" t="s">
        <v>73</v>
      </c>
      <c r="X9" s="3" t="s">
        <v>74</v>
      </c>
      <c r="Y9" s="3" t="s">
        <v>75</v>
      </c>
      <c r="Z9" s="3" t="s">
        <v>76</v>
      </c>
      <c r="AA9" s="26"/>
      <c r="AD9" s="46"/>
      <c r="AE9" s="46"/>
      <c r="AF9" s="26"/>
      <c r="AG9" s="26"/>
    </row>
    <row r="10" spans="1:33" x14ac:dyDescent="0.45">
      <c r="A10" s="35" t="s">
        <v>4</v>
      </c>
      <c r="B10" s="3" t="s">
        <v>6</v>
      </c>
      <c r="C10" s="4">
        <v>9</v>
      </c>
      <c r="D10" s="4">
        <v>3</v>
      </c>
      <c r="E10" s="4">
        <v>3</v>
      </c>
      <c r="F10" s="4">
        <v>9</v>
      </c>
      <c r="G10" s="4">
        <v>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>
        <v>3</v>
      </c>
      <c r="Y10" s="4"/>
      <c r="Z10" s="4"/>
      <c r="AA10" s="4">
        <v>7</v>
      </c>
      <c r="AD10" s="3" t="s">
        <v>59</v>
      </c>
      <c r="AE10" s="3">
        <v>1883</v>
      </c>
      <c r="AF10" s="3">
        <v>1883</v>
      </c>
      <c r="AG10" s="14">
        <f>AF10/$AF$33</f>
        <v>9.4756441223832533E-2</v>
      </c>
    </row>
    <row r="11" spans="1:33" x14ac:dyDescent="0.45">
      <c r="A11" s="36"/>
      <c r="B11" s="3" t="s">
        <v>28</v>
      </c>
      <c r="C11" s="4">
        <v>3</v>
      </c>
      <c r="D11" s="4">
        <v>3</v>
      </c>
      <c r="E11" s="4">
        <v>9</v>
      </c>
      <c r="F11" s="4">
        <v>3</v>
      </c>
      <c r="G11" s="4">
        <v>9</v>
      </c>
      <c r="H11" s="4">
        <v>3</v>
      </c>
      <c r="I11" s="4">
        <v>3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>
        <v>3</v>
      </c>
      <c r="Y11" s="4"/>
      <c r="Z11" s="4"/>
      <c r="AA11" s="4">
        <v>7</v>
      </c>
      <c r="AD11" s="3" t="s">
        <v>74</v>
      </c>
      <c r="AE11" s="3">
        <v>1860</v>
      </c>
      <c r="AF11" s="3">
        <f>AF10+AE11</f>
        <v>3743</v>
      </c>
      <c r="AG11" s="14">
        <f t="shared" ref="AG11:AG33" si="0">AF11/$AF$33</f>
        <v>0.18835547504025765</v>
      </c>
    </row>
    <row r="12" spans="1:33" x14ac:dyDescent="0.45">
      <c r="A12" s="36"/>
      <c r="B12" s="3" t="s">
        <v>29</v>
      </c>
      <c r="C12" s="4">
        <v>3</v>
      </c>
      <c r="D12" s="4">
        <v>1</v>
      </c>
      <c r="E12" s="4">
        <v>9</v>
      </c>
      <c r="F12" s="4">
        <v>9</v>
      </c>
      <c r="G12" s="4">
        <v>3</v>
      </c>
      <c r="H12" s="4">
        <v>3</v>
      </c>
      <c r="I12" s="4">
        <v>3</v>
      </c>
      <c r="J12" s="4"/>
      <c r="K12" s="4"/>
      <c r="L12" s="4"/>
      <c r="M12" s="4"/>
      <c r="N12" s="4"/>
      <c r="O12" s="4"/>
      <c r="P12" s="4"/>
      <c r="Q12" s="4"/>
      <c r="R12" s="4">
        <v>1</v>
      </c>
      <c r="S12" s="4"/>
      <c r="T12" s="4"/>
      <c r="U12" s="4"/>
      <c r="V12" s="4"/>
      <c r="W12" s="4"/>
      <c r="X12" s="4">
        <v>1</v>
      </c>
      <c r="Y12" s="4"/>
      <c r="Z12" s="4"/>
      <c r="AA12" s="4">
        <v>8</v>
      </c>
      <c r="AD12" s="3" t="s">
        <v>57</v>
      </c>
      <c r="AE12" s="3">
        <v>1540</v>
      </c>
      <c r="AF12" s="3">
        <f>AF11+AE12</f>
        <v>5283</v>
      </c>
      <c r="AG12" s="14">
        <f t="shared" si="0"/>
        <v>0.26585144927536231</v>
      </c>
    </row>
    <row r="13" spans="1:33" x14ac:dyDescent="0.45">
      <c r="A13" s="36"/>
      <c r="B13" s="3" t="s">
        <v>30</v>
      </c>
      <c r="C13" s="4">
        <v>3</v>
      </c>
      <c r="D13" s="4">
        <v>3</v>
      </c>
      <c r="E13" s="4">
        <v>1</v>
      </c>
      <c r="F13" s="4">
        <v>9</v>
      </c>
      <c r="G13" s="4"/>
      <c r="H13" s="4"/>
      <c r="I13" s="4">
        <v>3</v>
      </c>
      <c r="J13" s="4"/>
      <c r="K13" s="4"/>
      <c r="L13" s="4"/>
      <c r="M13" s="4"/>
      <c r="N13" s="4"/>
      <c r="O13" s="4">
        <v>3</v>
      </c>
      <c r="P13" s="4"/>
      <c r="Q13" s="4"/>
      <c r="R13" s="4">
        <v>1</v>
      </c>
      <c r="S13" s="4"/>
      <c r="T13" s="4"/>
      <c r="U13" s="4">
        <v>1</v>
      </c>
      <c r="V13" s="4"/>
      <c r="W13" s="4"/>
      <c r="X13" s="4"/>
      <c r="Y13" s="4"/>
      <c r="Z13" s="4"/>
      <c r="AA13" s="4">
        <v>5</v>
      </c>
      <c r="AD13" s="3" t="s">
        <v>62</v>
      </c>
      <c r="AE13" s="3">
        <v>1332</v>
      </c>
      <c r="AF13" s="3">
        <f t="shared" ref="AF13:AF33" si="1">AF12+AE13</f>
        <v>6615</v>
      </c>
      <c r="AG13" s="14">
        <f t="shared" si="0"/>
        <v>0.3328804347826087</v>
      </c>
    </row>
    <row r="14" spans="1:33" x14ac:dyDescent="0.45">
      <c r="A14" s="37"/>
      <c r="B14" s="3" t="s">
        <v>31</v>
      </c>
      <c r="C14" s="4"/>
      <c r="D14" s="4">
        <v>3</v>
      </c>
      <c r="E14" s="4">
        <v>3</v>
      </c>
      <c r="F14" s="4">
        <v>1</v>
      </c>
      <c r="G14" s="4">
        <v>9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>
        <v>1</v>
      </c>
      <c r="S14" s="4"/>
      <c r="T14" s="4">
        <v>3</v>
      </c>
      <c r="U14" s="4">
        <v>3</v>
      </c>
      <c r="V14" s="4"/>
      <c r="W14" s="4"/>
      <c r="X14" s="4"/>
      <c r="Y14" s="4"/>
      <c r="Z14" s="4"/>
      <c r="AA14" s="4">
        <v>8</v>
      </c>
      <c r="AD14" s="3" t="s">
        <v>66</v>
      </c>
      <c r="AE14" s="3">
        <v>1268</v>
      </c>
      <c r="AF14" s="3">
        <f t="shared" si="1"/>
        <v>7883</v>
      </c>
      <c r="AG14" s="14">
        <f t="shared" si="0"/>
        <v>0.396688808373591</v>
      </c>
    </row>
    <row r="15" spans="1:33" x14ac:dyDescent="0.45">
      <c r="A15" s="35" t="s">
        <v>49</v>
      </c>
      <c r="B15" s="3" t="s">
        <v>32</v>
      </c>
      <c r="C15" s="4"/>
      <c r="D15" s="4"/>
      <c r="E15" s="4">
        <v>9</v>
      </c>
      <c r="F15" s="4"/>
      <c r="G15" s="4">
        <v>9</v>
      </c>
      <c r="H15" s="4">
        <v>9</v>
      </c>
      <c r="I15" s="4">
        <v>9</v>
      </c>
      <c r="J15" s="4"/>
      <c r="K15" s="4"/>
      <c r="L15" s="4">
        <v>3</v>
      </c>
      <c r="M15" s="4"/>
      <c r="N15" s="4"/>
      <c r="O15" s="4"/>
      <c r="P15" s="4"/>
      <c r="Q15" s="4"/>
      <c r="R15" s="4"/>
      <c r="S15" s="4"/>
      <c r="T15" s="4">
        <v>1</v>
      </c>
      <c r="U15" s="4"/>
      <c r="V15" s="4"/>
      <c r="W15" s="4"/>
      <c r="X15" s="4"/>
      <c r="Y15" s="4"/>
      <c r="Z15" s="4"/>
      <c r="AA15" s="4">
        <v>6</v>
      </c>
      <c r="AD15" s="3" t="s">
        <v>67</v>
      </c>
      <c r="AE15" s="3">
        <v>992</v>
      </c>
      <c r="AF15" s="3">
        <f t="shared" si="1"/>
        <v>8875</v>
      </c>
      <c r="AG15" s="14">
        <f t="shared" si="0"/>
        <v>0.44660829307568439</v>
      </c>
    </row>
    <row r="16" spans="1:33" x14ac:dyDescent="0.45">
      <c r="A16" s="36"/>
      <c r="B16" s="3" t="s">
        <v>33</v>
      </c>
      <c r="C16" s="4"/>
      <c r="D16" s="4"/>
      <c r="E16" s="4">
        <v>1</v>
      </c>
      <c r="F16" s="4"/>
      <c r="G16" s="4"/>
      <c r="H16" s="4">
        <v>1</v>
      </c>
      <c r="I16" s="4">
        <v>3</v>
      </c>
      <c r="J16" s="4">
        <v>9</v>
      </c>
      <c r="K16" s="4">
        <v>9</v>
      </c>
      <c r="L16" s="4">
        <v>3</v>
      </c>
      <c r="M16" s="4"/>
      <c r="N16" s="4"/>
      <c r="O16" s="4"/>
      <c r="P16" s="4"/>
      <c r="Q16" s="4"/>
      <c r="R16" s="4"/>
      <c r="S16" s="4"/>
      <c r="T16" s="4"/>
      <c r="U16" s="4"/>
      <c r="V16" s="4">
        <v>3</v>
      </c>
      <c r="W16" s="4"/>
      <c r="X16" s="4"/>
      <c r="Y16" s="4"/>
      <c r="Z16" s="4"/>
      <c r="AA16" s="4">
        <v>6</v>
      </c>
      <c r="AD16" s="3" t="s">
        <v>68</v>
      </c>
      <c r="AE16" s="3">
        <v>966</v>
      </c>
      <c r="AF16" s="3">
        <f t="shared" si="1"/>
        <v>9841</v>
      </c>
      <c r="AG16" s="14">
        <f t="shared" si="0"/>
        <v>0.4952194041867955</v>
      </c>
    </row>
    <row r="17" spans="1:33" x14ac:dyDescent="0.45">
      <c r="A17" s="36"/>
      <c r="B17" s="3" t="s">
        <v>34</v>
      </c>
      <c r="C17" s="4"/>
      <c r="D17" s="4"/>
      <c r="E17" s="4"/>
      <c r="F17" s="4"/>
      <c r="G17" s="4"/>
      <c r="H17" s="4"/>
      <c r="I17" s="4">
        <v>1</v>
      </c>
      <c r="J17" s="4"/>
      <c r="K17" s="4"/>
      <c r="L17" s="4">
        <v>3</v>
      </c>
      <c r="M17" s="4"/>
      <c r="N17" s="4"/>
      <c r="O17" s="4"/>
      <c r="P17" s="4"/>
      <c r="Q17" s="4"/>
      <c r="R17" s="4"/>
      <c r="S17" s="4"/>
      <c r="T17" s="4"/>
      <c r="U17" s="4"/>
      <c r="V17" s="4">
        <v>3</v>
      </c>
      <c r="W17" s="4"/>
      <c r="X17" s="4"/>
      <c r="Y17" s="4"/>
      <c r="Z17" s="4"/>
      <c r="AA17" s="4">
        <v>7</v>
      </c>
      <c r="AD17" s="3" t="s">
        <v>75</v>
      </c>
      <c r="AE17" s="3">
        <v>945</v>
      </c>
      <c r="AF17" s="3">
        <f t="shared" si="1"/>
        <v>10786</v>
      </c>
      <c r="AG17" s="14">
        <f t="shared" si="0"/>
        <v>0.54277375201288247</v>
      </c>
    </row>
    <row r="18" spans="1:33" x14ac:dyDescent="0.45">
      <c r="A18" s="37"/>
      <c r="B18" s="3" t="s">
        <v>35</v>
      </c>
      <c r="C18" s="4"/>
      <c r="D18" s="4"/>
      <c r="E18" s="4"/>
      <c r="F18" s="4"/>
      <c r="G18" s="4"/>
      <c r="H18" s="4"/>
      <c r="I18" s="4">
        <v>3</v>
      </c>
      <c r="J18" s="4"/>
      <c r="K18" s="4"/>
      <c r="L18" s="4">
        <v>9</v>
      </c>
      <c r="M18" s="4">
        <v>3</v>
      </c>
      <c r="N18" s="4"/>
      <c r="O18" s="4"/>
      <c r="P18" s="4"/>
      <c r="Q18" s="4">
        <v>9</v>
      </c>
      <c r="R18" s="4"/>
      <c r="S18" s="4"/>
      <c r="T18" s="4"/>
      <c r="U18" s="4"/>
      <c r="V18" s="4"/>
      <c r="W18" s="4"/>
      <c r="X18" s="4"/>
      <c r="Y18" s="4"/>
      <c r="Z18" s="4"/>
      <c r="AA18" s="4">
        <v>8</v>
      </c>
      <c r="AD18" s="3" t="s">
        <v>63</v>
      </c>
      <c r="AE18" s="3">
        <v>927</v>
      </c>
      <c r="AF18" s="3">
        <f t="shared" si="1"/>
        <v>11713</v>
      </c>
      <c r="AG18" s="14">
        <f t="shared" si="0"/>
        <v>0.58942230273752017</v>
      </c>
    </row>
    <row r="19" spans="1:33" x14ac:dyDescent="0.45">
      <c r="A19" s="35" t="s">
        <v>50</v>
      </c>
      <c r="B19" s="3" t="s">
        <v>36</v>
      </c>
      <c r="C19" s="4"/>
      <c r="D19" s="4"/>
      <c r="E19" s="4">
        <v>1</v>
      </c>
      <c r="F19" s="4"/>
      <c r="G19" s="4"/>
      <c r="H19" s="4"/>
      <c r="I19" s="4">
        <v>9</v>
      </c>
      <c r="J19" s="4"/>
      <c r="K19" s="4"/>
      <c r="L19" s="4"/>
      <c r="M19" s="4">
        <v>3</v>
      </c>
      <c r="N19" s="4">
        <v>1</v>
      </c>
      <c r="O19" s="4">
        <v>9</v>
      </c>
      <c r="P19" s="4">
        <v>9</v>
      </c>
      <c r="Q19" s="4"/>
      <c r="R19" s="4"/>
      <c r="S19" s="4">
        <v>3</v>
      </c>
      <c r="T19" s="4"/>
      <c r="U19" s="4"/>
      <c r="V19" s="4"/>
      <c r="W19" s="4"/>
      <c r="X19" s="4"/>
      <c r="Y19" s="4"/>
      <c r="Z19" s="4"/>
      <c r="AA19" s="4">
        <v>6</v>
      </c>
      <c r="AD19" s="3" t="s">
        <v>71</v>
      </c>
      <c r="AE19" s="3">
        <v>865</v>
      </c>
      <c r="AF19" s="3">
        <f t="shared" si="1"/>
        <v>12578</v>
      </c>
      <c r="AG19" s="14">
        <f t="shared" si="0"/>
        <v>0.63295088566827695</v>
      </c>
    </row>
    <row r="20" spans="1:33" x14ac:dyDescent="0.45">
      <c r="A20" s="36"/>
      <c r="B20" s="3" t="s">
        <v>37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>
        <v>9</v>
      </c>
      <c r="N20" s="4">
        <v>9</v>
      </c>
      <c r="O20" s="4"/>
      <c r="P20" s="4">
        <v>3</v>
      </c>
      <c r="Q20" s="4"/>
      <c r="R20" s="4"/>
      <c r="S20" s="4">
        <v>3</v>
      </c>
      <c r="T20" s="4"/>
      <c r="U20" s="4"/>
      <c r="V20" s="4"/>
      <c r="W20" s="4"/>
      <c r="X20" s="4">
        <v>1</v>
      </c>
      <c r="Y20" s="4"/>
      <c r="Z20" s="4"/>
      <c r="AA20" s="4">
        <v>7</v>
      </c>
      <c r="AD20" s="3" t="s">
        <v>56</v>
      </c>
      <c r="AE20" s="3">
        <v>836</v>
      </c>
      <c r="AF20" s="3">
        <f t="shared" si="1"/>
        <v>13414</v>
      </c>
      <c r="AG20" s="14">
        <f t="shared" si="0"/>
        <v>0.6750201288244766</v>
      </c>
    </row>
    <row r="21" spans="1:33" x14ac:dyDescent="0.45">
      <c r="A21" s="36"/>
      <c r="B21" s="3" t="s">
        <v>38</v>
      </c>
      <c r="C21" s="4"/>
      <c r="D21" s="4"/>
      <c r="E21" s="4"/>
      <c r="F21" s="4"/>
      <c r="G21" s="4"/>
      <c r="H21" s="4"/>
      <c r="I21" s="4"/>
      <c r="J21" s="4"/>
      <c r="K21" s="4"/>
      <c r="L21" s="4">
        <v>9</v>
      </c>
      <c r="M21" s="4">
        <v>9</v>
      </c>
      <c r="N21" s="4">
        <v>9</v>
      </c>
      <c r="O21" s="4">
        <v>1</v>
      </c>
      <c r="P21" s="4">
        <v>3</v>
      </c>
      <c r="Q21" s="4">
        <v>9</v>
      </c>
      <c r="R21" s="4"/>
      <c r="S21" s="4">
        <v>3</v>
      </c>
      <c r="T21" s="4"/>
      <c r="U21" s="4"/>
      <c r="V21" s="4"/>
      <c r="W21" s="4"/>
      <c r="X21" s="4">
        <v>3</v>
      </c>
      <c r="Y21" s="4"/>
      <c r="Z21" s="4"/>
      <c r="AA21" s="4">
        <v>8</v>
      </c>
      <c r="AD21" s="3" t="s">
        <v>55</v>
      </c>
      <c r="AE21" s="3">
        <v>792</v>
      </c>
      <c r="AF21" s="3">
        <f t="shared" si="1"/>
        <v>14206</v>
      </c>
      <c r="AG21" s="14">
        <f t="shared" si="0"/>
        <v>0.71487520128824478</v>
      </c>
    </row>
    <row r="22" spans="1:33" x14ac:dyDescent="0.45">
      <c r="A22" s="36"/>
      <c r="B22" s="3" t="s">
        <v>39</v>
      </c>
      <c r="C22" s="4"/>
      <c r="D22" s="4"/>
      <c r="E22" s="4"/>
      <c r="F22" s="4"/>
      <c r="G22" s="4"/>
      <c r="H22" s="4"/>
      <c r="I22" s="4"/>
      <c r="J22" s="4"/>
      <c r="K22" s="4"/>
      <c r="L22" s="4">
        <v>3</v>
      </c>
      <c r="M22" s="4">
        <v>3</v>
      </c>
      <c r="N22" s="4">
        <v>9</v>
      </c>
      <c r="O22" s="4">
        <v>1</v>
      </c>
      <c r="P22" s="4">
        <v>1</v>
      </c>
      <c r="Q22" s="4">
        <v>9</v>
      </c>
      <c r="R22" s="4"/>
      <c r="S22" s="4">
        <v>3</v>
      </c>
      <c r="T22" s="4"/>
      <c r="U22" s="4"/>
      <c r="V22" s="4"/>
      <c r="W22" s="4"/>
      <c r="X22" s="4">
        <v>3</v>
      </c>
      <c r="Y22" s="4"/>
      <c r="Z22" s="4"/>
      <c r="AA22" s="4">
        <v>7</v>
      </c>
      <c r="AD22" s="3" t="s">
        <v>73</v>
      </c>
      <c r="AE22" s="3">
        <v>735</v>
      </c>
      <c r="AF22" s="3">
        <f t="shared" si="1"/>
        <v>14941</v>
      </c>
      <c r="AG22" s="14">
        <f t="shared" si="0"/>
        <v>0.75186191626409016</v>
      </c>
    </row>
    <row r="23" spans="1:33" x14ac:dyDescent="0.45">
      <c r="A23" s="36"/>
      <c r="B23" s="3" t="s">
        <v>40</v>
      </c>
      <c r="C23" s="4"/>
      <c r="D23" s="4"/>
      <c r="E23" s="4">
        <v>1</v>
      </c>
      <c r="F23" s="4"/>
      <c r="G23" s="4"/>
      <c r="H23" s="4"/>
      <c r="I23" s="4">
        <v>3</v>
      </c>
      <c r="J23" s="4"/>
      <c r="K23" s="4"/>
      <c r="L23" s="4"/>
      <c r="M23" s="4"/>
      <c r="N23" s="4"/>
      <c r="O23" s="4">
        <v>1</v>
      </c>
      <c r="P23" s="4"/>
      <c r="Q23" s="4"/>
      <c r="R23" s="4">
        <v>9</v>
      </c>
      <c r="S23" s="4"/>
      <c r="T23" s="4"/>
      <c r="U23" s="4"/>
      <c r="V23" s="4"/>
      <c r="W23" s="4"/>
      <c r="X23" s="4"/>
      <c r="Y23" s="4"/>
      <c r="Z23" s="4"/>
      <c r="AA23" s="4">
        <v>6</v>
      </c>
      <c r="AD23" s="3" t="s">
        <v>64</v>
      </c>
      <c r="AE23" s="3">
        <v>729</v>
      </c>
      <c r="AF23" s="3">
        <f t="shared" si="1"/>
        <v>15670</v>
      </c>
      <c r="AG23" s="14">
        <f t="shared" si="0"/>
        <v>0.78854669887278583</v>
      </c>
    </row>
    <row r="24" spans="1:33" x14ac:dyDescent="0.45">
      <c r="A24" s="36"/>
      <c r="B24" s="3" t="s">
        <v>41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>
        <v>3</v>
      </c>
      <c r="N24" s="4"/>
      <c r="O24" s="4"/>
      <c r="P24" s="4">
        <v>9</v>
      </c>
      <c r="Q24" s="4">
        <v>1</v>
      </c>
      <c r="R24" s="4"/>
      <c r="S24" s="4">
        <v>3</v>
      </c>
      <c r="T24" s="4">
        <v>3</v>
      </c>
      <c r="U24" s="4"/>
      <c r="V24" s="4"/>
      <c r="W24" s="4"/>
      <c r="X24" s="4">
        <v>3</v>
      </c>
      <c r="Y24" s="4"/>
      <c r="Z24" s="4"/>
      <c r="AA24" s="4">
        <v>7</v>
      </c>
      <c r="AD24" s="3" t="s">
        <v>60</v>
      </c>
      <c r="AE24" s="3">
        <v>516</v>
      </c>
      <c r="AF24" s="3">
        <f t="shared" si="1"/>
        <v>16186</v>
      </c>
      <c r="AG24" s="14">
        <f t="shared" si="0"/>
        <v>0.81451288244766507</v>
      </c>
    </row>
    <row r="25" spans="1:33" x14ac:dyDescent="0.45">
      <c r="A25" s="37"/>
      <c r="B25" s="3" t="s">
        <v>42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>
        <v>3</v>
      </c>
      <c r="N25" s="4"/>
      <c r="O25" s="4"/>
      <c r="P25" s="4">
        <v>9</v>
      </c>
      <c r="Q25" s="4">
        <v>1</v>
      </c>
      <c r="R25" s="4"/>
      <c r="S25" s="4">
        <v>3</v>
      </c>
      <c r="T25" s="4">
        <v>9</v>
      </c>
      <c r="U25" s="4">
        <v>3</v>
      </c>
      <c r="V25" s="4"/>
      <c r="W25" s="4"/>
      <c r="X25" s="4">
        <v>3</v>
      </c>
      <c r="Y25" s="4"/>
      <c r="Z25" s="4"/>
      <c r="AA25" s="4">
        <v>9</v>
      </c>
      <c r="AD25" s="3" t="s">
        <v>65</v>
      </c>
      <c r="AE25" s="3">
        <v>516</v>
      </c>
      <c r="AF25" s="3">
        <f t="shared" si="1"/>
        <v>16702</v>
      </c>
      <c r="AG25" s="14">
        <f t="shared" si="0"/>
        <v>0.8404790660225443</v>
      </c>
    </row>
    <row r="26" spans="1:33" x14ac:dyDescent="0.45">
      <c r="A26" s="35" t="s">
        <v>51</v>
      </c>
      <c r="B26" s="3" t="s">
        <v>43</v>
      </c>
      <c r="C26" s="4"/>
      <c r="D26" s="4">
        <v>3</v>
      </c>
      <c r="E26" s="4">
        <v>1</v>
      </c>
      <c r="F26" s="4"/>
      <c r="G26" s="4"/>
      <c r="H26" s="4"/>
      <c r="I26" s="4">
        <v>3</v>
      </c>
      <c r="J26" s="4"/>
      <c r="K26" s="4"/>
      <c r="L26" s="4"/>
      <c r="M26" s="4"/>
      <c r="N26" s="4"/>
      <c r="O26" s="4">
        <v>3</v>
      </c>
      <c r="P26" s="4"/>
      <c r="Q26" s="4"/>
      <c r="R26" s="4">
        <v>9</v>
      </c>
      <c r="S26" s="4"/>
      <c r="T26" s="4"/>
      <c r="U26" s="4">
        <v>9</v>
      </c>
      <c r="V26" s="4"/>
      <c r="W26" s="4"/>
      <c r="X26" s="4">
        <v>1</v>
      </c>
      <c r="Y26" s="4"/>
      <c r="Z26" s="4"/>
      <c r="AA26" s="4">
        <v>7</v>
      </c>
      <c r="AD26" s="3" t="s">
        <v>53</v>
      </c>
      <c r="AE26" s="3">
        <v>492</v>
      </c>
      <c r="AF26" s="3">
        <f t="shared" si="1"/>
        <v>17194</v>
      </c>
      <c r="AG26" s="14">
        <f t="shared" si="0"/>
        <v>0.86523752012882449</v>
      </c>
    </row>
    <row r="27" spans="1:33" x14ac:dyDescent="0.45">
      <c r="A27" s="36"/>
      <c r="B27" s="3" t="s">
        <v>44</v>
      </c>
      <c r="C27" s="4"/>
      <c r="D27" s="4">
        <v>1</v>
      </c>
      <c r="E27" s="4"/>
      <c r="F27" s="4"/>
      <c r="G27" s="4"/>
      <c r="H27" s="4"/>
      <c r="I27" s="4">
        <v>1</v>
      </c>
      <c r="J27" s="4">
        <v>9</v>
      </c>
      <c r="K27" s="4">
        <v>9</v>
      </c>
      <c r="L27" s="4"/>
      <c r="M27" s="4"/>
      <c r="N27" s="4"/>
      <c r="O27" s="4">
        <v>3</v>
      </c>
      <c r="P27" s="4">
        <v>3</v>
      </c>
      <c r="Q27" s="4"/>
      <c r="R27" s="4"/>
      <c r="S27" s="4">
        <v>1</v>
      </c>
      <c r="T27" s="4"/>
      <c r="U27" s="4">
        <v>9</v>
      </c>
      <c r="V27" s="4">
        <v>9</v>
      </c>
      <c r="W27" s="4"/>
      <c r="X27" s="4">
        <v>1</v>
      </c>
      <c r="Y27" s="4"/>
      <c r="Z27" s="4"/>
      <c r="AA27" s="4">
        <v>6</v>
      </c>
      <c r="AD27" s="3" t="s">
        <v>54</v>
      </c>
      <c r="AE27" s="3">
        <v>464</v>
      </c>
      <c r="AF27" s="3">
        <f t="shared" si="1"/>
        <v>17658</v>
      </c>
      <c r="AG27" s="14">
        <f t="shared" si="0"/>
        <v>0.88858695652173914</v>
      </c>
    </row>
    <row r="28" spans="1:33" x14ac:dyDescent="0.45">
      <c r="A28" s="36"/>
      <c r="B28" s="3" t="s">
        <v>45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>
        <v>3</v>
      </c>
      <c r="N28" s="4"/>
      <c r="O28" s="4"/>
      <c r="P28" s="4">
        <v>3</v>
      </c>
      <c r="Q28" s="4">
        <v>1</v>
      </c>
      <c r="R28" s="4"/>
      <c r="S28" s="4"/>
      <c r="T28" s="4"/>
      <c r="U28" s="4"/>
      <c r="V28" s="4"/>
      <c r="W28" s="4">
        <v>9</v>
      </c>
      <c r="X28" s="4">
        <v>9</v>
      </c>
      <c r="Y28" s="4">
        <v>9</v>
      </c>
      <c r="Z28" s="4">
        <v>3</v>
      </c>
      <c r="AA28" s="4">
        <v>5</v>
      </c>
      <c r="AD28" s="3" t="s">
        <v>76</v>
      </c>
      <c r="AE28" s="3">
        <v>459</v>
      </c>
      <c r="AF28" s="3">
        <f t="shared" si="1"/>
        <v>18117</v>
      </c>
      <c r="AG28" s="14">
        <f t="shared" si="0"/>
        <v>0.91168478260869568</v>
      </c>
    </row>
    <row r="29" spans="1:33" x14ac:dyDescent="0.45">
      <c r="A29" s="37"/>
      <c r="B29" s="3" t="s">
        <v>46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>
        <v>3</v>
      </c>
      <c r="N29" s="4"/>
      <c r="O29" s="4"/>
      <c r="P29" s="4">
        <v>3</v>
      </c>
      <c r="Q29" s="4">
        <v>1</v>
      </c>
      <c r="R29" s="4"/>
      <c r="S29" s="4"/>
      <c r="T29" s="4"/>
      <c r="U29" s="4"/>
      <c r="V29" s="4"/>
      <c r="W29" s="4">
        <v>9</v>
      </c>
      <c r="X29" s="4">
        <v>9</v>
      </c>
      <c r="Y29" s="4">
        <v>9</v>
      </c>
      <c r="Z29" s="4">
        <v>3</v>
      </c>
      <c r="AA29" s="4">
        <v>7</v>
      </c>
      <c r="AD29" s="3" t="s">
        <v>69</v>
      </c>
      <c r="AE29" s="3">
        <v>414</v>
      </c>
      <c r="AF29" s="3">
        <f t="shared" si="1"/>
        <v>18531</v>
      </c>
      <c r="AG29" s="14">
        <f t="shared" si="0"/>
        <v>0.93251811594202894</v>
      </c>
    </row>
    <row r="30" spans="1:33" x14ac:dyDescent="0.45">
      <c r="A30" s="35" t="s">
        <v>52</v>
      </c>
      <c r="B30" s="3" t="s">
        <v>47</v>
      </c>
      <c r="C30" s="4"/>
      <c r="D30" s="4"/>
      <c r="E30" s="4"/>
      <c r="F30" s="4"/>
      <c r="G30" s="4"/>
      <c r="H30" s="4"/>
      <c r="I30" s="4">
        <v>1</v>
      </c>
      <c r="J30" s="4">
        <v>3</v>
      </c>
      <c r="K30" s="4">
        <v>3</v>
      </c>
      <c r="L30" s="4"/>
      <c r="M30" s="4">
        <v>3</v>
      </c>
      <c r="N30" s="4">
        <v>3</v>
      </c>
      <c r="O30" s="4"/>
      <c r="P30" s="4">
        <v>1</v>
      </c>
      <c r="Q30" s="4">
        <v>1</v>
      </c>
      <c r="R30" s="4"/>
      <c r="S30" s="4"/>
      <c r="T30" s="4"/>
      <c r="U30" s="4"/>
      <c r="V30" s="4"/>
      <c r="W30" s="4">
        <v>3</v>
      </c>
      <c r="X30" s="4">
        <v>3</v>
      </c>
      <c r="Y30" s="4">
        <v>9</v>
      </c>
      <c r="Z30" s="4">
        <v>9</v>
      </c>
      <c r="AA30" s="4">
        <v>7</v>
      </c>
      <c r="AD30" s="3" t="s">
        <v>70</v>
      </c>
      <c r="AE30" s="3">
        <v>396</v>
      </c>
      <c r="AF30" s="3">
        <f t="shared" si="1"/>
        <v>18927</v>
      </c>
      <c r="AG30" s="14">
        <f t="shared" si="0"/>
        <v>0.95244565217391308</v>
      </c>
    </row>
    <row r="31" spans="1:33" x14ac:dyDescent="0.45">
      <c r="A31" s="37"/>
      <c r="B31" s="3" t="s">
        <v>48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>
        <v>1</v>
      </c>
      <c r="N31" s="4">
        <v>3</v>
      </c>
      <c r="O31" s="4"/>
      <c r="P31" s="4">
        <v>1</v>
      </c>
      <c r="Q31" s="4">
        <v>1</v>
      </c>
      <c r="R31" s="4"/>
      <c r="S31" s="4"/>
      <c r="T31" s="4"/>
      <c r="U31" s="4"/>
      <c r="V31" s="4"/>
      <c r="W31" s="4">
        <v>3</v>
      </c>
      <c r="X31" s="4">
        <v>3</v>
      </c>
      <c r="Y31" s="4">
        <v>3</v>
      </c>
      <c r="Z31" s="4">
        <v>9</v>
      </c>
      <c r="AA31" s="4">
        <v>6</v>
      </c>
      <c r="AD31" s="3" t="s">
        <v>72</v>
      </c>
      <c r="AE31" s="3">
        <v>372</v>
      </c>
      <c r="AF31" s="3">
        <f t="shared" si="1"/>
        <v>19299</v>
      </c>
      <c r="AG31" s="14">
        <f t="shared" si="0"/>
        <v>0.97116545893719808</v>
      </c>
    </row>
    <row r="32" spans="1:33" x14ac:dyDescent="0.45">
      <c r="A32" s="4"/>
      <c r="B32" s="3" t="s">
        <v>77</v>
      </c>
      <c r="C32" s="4">
        <v>4</v>
      </c>
      <c r="D32" s="4">
        <v>4</v>
      </c>
      <c r="E32" s="4">
        <v>3</v>
      </c>
      <c r="F32" s="4">
        <v>4</v>
      </c>
      <c r="G32" s="4">
        <v>7</v>
      </c>
      <c r="H32" s="4">
        <v>3</v>
      </c>
      <c r="I32" s="4">
        <v>7</v>
      </c>
      <c r="J32" s="4">
        <v>4</v>
      </c>
      <c r="K32" s="4">
        <v>2</v>
      </c>
      <c r="L32" s="4">
        <v>6</v>
      </c>
      <c r="M32" s="4">
        <v>3</v>
      </c>
      <c r="N32" s="4">
        <v>3</v>
      </c>
      <c r="O32" s="4">
        <v>4</v>
      </c>
      <c r="P32" s="4">
        <v>4</v>
      </c>
      <c r="Q32" s="4">
        <v>4</v>
      </c>
      <c r="R32" s="4">
        <v>7</v>
      </c>
      <c r="S32" s="4">
        <v>3</v>
      </c>
      <c r="T32" s="4">
        <v>3</v>
      </c>
      <c r="U32" s="4">
        <v>5</v>
      </c>
      <c r="V32" s="4">
        <v>4</v>
      </c>
      <c r="W32" s="4">
        <v>5</v>
      </c>
      <c r="X32" s="4">
        <v>6</v>
      </c>
      <c r="Y32" s="4">
        <v>5</v>
      </c>
      <c r="Z32" s="4">
        <v>3</v>
      </c>
      <c r="AA32" s="4"/>
      <c r="AD32" s="3" t="s">
        <v>58</v>
      </c>
      <c r="AE32" s="3">
        <v>315</v>
      </c>
      <c r="AF32" s="3">
        <f t="shared" si="1"/>
        <v>19614</v>
      </c>
      <c r="AG32" s="14">
        <f t="shared" si="0"/>
        <v>0.98701690821256038</v>
      </c>
    </row>
    <row r="33" spans="1:33" x14ac:dyDescent="0.45">
      <c r="A33" s="4"/>
      <c r="B33" s="3" t="s">
        <v>78</v>
      </c>
      <c r="C33" s="4">
        <f>C32*SUMPRODUCT(C10:C31,$AA$10:$AA$31)</f>
        <v>492</v>
      </c>
      <c r="D33" s="4">
        <f t="shared" ref="D33:Z33" si="2">D32*SUMPRODUCT(D10:D31,$AA$10:$AA$31)</f>
        <v>464</v>
      </c>
      <c r="E33" s="4">
        <f t="shared" si="2"/>
        <v>792</v>
      </c>
      <c r="F33" s="4">
        <f t="shared" si="2"/>
        <v>836</v>
      </c>
      <c r="G33" s="13">
        <f t="shared" si="2"/>
        <v>1540</v>
      </c>
      <c r="H33" s="4">
        <f t="shared" si="2"/>
        <v>315</v>
      </c>
      <c r="I33" s="13">
        <f t="shared" si="2"/>
        <v>1883</v>
      </c>
      <c r="J33" s="4">
        <f t="shared" si="2"/>
        <v>516</v>
      </c>
      <c r="K33" s="4">
        <f t="shared" si="2"/>
        <v>258</v>
      </c>
      <c r="L33" s="4">
        <f t="shared" si="2"/>
        <v>1332</v>
      </c>
      <c r="M33" s="4">
        <f t="shared" si="2"/>
        <v>927</v>
      </c>
      <c r="N33" s="4">
        <f t="shared" si="2"/>
        <v>729</v>
      </c>
      <c r="O33" s="4">
        <f t="shared" si="2"/>
        <v>516</v>
      </c>
      <c r="P33" s="4">
        <f t="shared" si="2"/>
        <v>1268</v>
      </c>
      <c r="Q33" s="4">
        <f t="shared" si="2"/>
        <v>992</v>
      </c>
      <c r="R33" s="4">
        <f t="shared" si="2"/>
        <v>966</v>
      </c>
      <c r="S33" s="4">
        <f t="shared" si="2"/>
        <v>414</v>
      </c>
      <c r="T33" s="4">
        <f t="shared" si="2"/>
        <v>396</v>
      </c>
      <c r="U33" s="4">
        <f t="shared" si="2"/>
        <v>865</v>
      </c>
      <c r="V33" s="4">
        <f t="shared" si="2"/>
        <v>372</v>
      </c>
      <c r="W33" s="4">
        <f t="shared" si="2"/>
        <v>735</v>
      </c>
      <c r="X33" s="13">
        <f t="shared" si="2"/>
        <v>1860</v>
      </c>
      <c r="Y33" s="4">
        <f t="shared" si="2"/>
        <v>945</v>
      </c>
      <c r="Z33" s="4">
        <f t="shared" si="2"/>
        <v>459</v>
      </c>
      <c r="AA33" s="4"/>
      <c r="AD33" s="3" t="s">
        <v>61</v>
      </c>
      <c r="AE33" s="3">
        <v>258</v>
      </c>
      <c r="AF33" s="3">
        <f t="shared" si="1"/>
        <v>19872</v>
      </c>
      <c r="AG33" s="14">
        <f t="shared" si="0"/>
        <v>1</v>
      </c>
    </row>
    <row r="34" spans="1:33" x14ac:dyDescent="0.45">
      <c r="A34" s="4"/>
      <c r="B34" s="3" t="s">
        <v>79</v>
      </c>
      <c r="C34" s="4">
        <v>17</v>
      </c>
      <c r="D34" s="4">
        <v>18</v>
      </c>
      <c r="E34" s="4">
        <v>12</v>
      </c>
      <c r="F34" s="4">
        <v>11</v>
      </c>
      <c r="G34" s="4">
        <v>3</v>
      </c>
      <c r="H34" s="4">
        <v>23</v>
      </c>
      <c r="I34" s="4">
        <v>1</v>
      </c>
      <c r="J34" s="4">
        <v>15</v>
      </c>
      <c r="K34" s="4">
        <v>24</v>
      </c>
      <c r="L34" s="4">
        <v>4</v>
      </c>
      <c r="M34" s="4">
        <v>9</v>
      </c>
      <c r="N34" s="4">
        <v>14</v>
      </c>
      <c r="O34" s="4">
        <v>16</v>
      </c>
      <c r="P34" s="4">
        <v>5</v>
      </c>
      <c r="Q34" s="4">
        <v>6</v>
      </c>
      <c r="R34" s="4">
        <v>7</v>
      </c>
      <c r="S34" s="4">
        <v>20</v>
      </c>
      <c r="T34" s="4">
        <v>21</v>
      </c>
      <c r="U34" s="4">
        <v>10</v>
      </c>
      <c r="V34" s="4">
        <v>22</v>
      </c>
      <c r="W34" s="4">
        <v>13</v>
      </c>
      <c r="X34" s="4">
        <v>2</v>
      </c>
      <c r="Y34" s="4">
        <v>8</v>
      </c>
      <c r="Z34" s="4">
        <v>19</v>
      </c>
      <c r="AA34" s="4"/>
      <c r="AD34" s="3" t="s">
        <v>161</v>
      </c>
      <c r="AE34" s="4">
        <f>SUM(AE10:AE33)</f>
        <v>19872</v>
      </c>
      <c r="AF34" s="4"/>
      <c r="AG34" s="4"/>
    </row>
    <row r="36" spans="1:33" x14ac:dyDescent="0.45">
      <c r="C36" t="s">
        <v>59</v>
      </c>
    </row>
    <row r="37" spans="1:33" x14ac:dyDescent="0.45">
      <c r="C37" t="s">
        <v>74</v>
      </c>
    </row>
    <row r="38" spans="1:33" x14ac:dyDescent="0.45">
      <c r="C38" t="s">
        <v>57</v>
      </c>
    </row>
    <row r="39" spans="1:33" x14ac:dyDescent="0.45">
      <c r="C39" t="s">
        <v>62</v>
      </c>
    </row>
    <row r="40" spans="1:33" x14ac:dyDescent="0.45">
      <c r="C40" t="s">
        <v>66</v>
      </c>
    </row>
  </sheetData>
  <sortState xmlns:xlrd2="http://schemas.microsoft.com/office/spreadsheetml/2017/richdata2" ref="AD10:AE33">
    <sortCondition descending="1" ref="AE10:AE33"/>
  </sortState>
  <mergeCells count="20">
    <mergeCell ref="AD8:AD9"/>
    <mergeCell ref="AE8:AE9"/>
    <mergeCell ref="AF8:AF9"/>
    <mergeCell ref="AG8:AG9"/>
    <mergeCell ref="A7:AA7"/>
    <mergeCell ref="AA8:AA9"/>
    <mergeCell ref="A19:A25"/>
    <mergeCell ref="A26:A29"/>
    <mergeCell ref="A30:A31"/>
    <mergeCell ref="B8:B9"/>
    <mergeCell ref="C8:Z8"/>
    <mergeCell ref="A8:A9"/>
    <mergeCell ref="A10:A14"/>
    <mergeCell ref="A15:A18"/>
    <mergeCell ref="A1:L1"/>
    <mergeCell ref="A3:C3"/>
    <mergeCell ref="A4:C4"/>
    <mergeCell ref="A5:C5"/>
    <mergeCell ref="A6:C6"/>
    <mergeCell ref="A2:M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5805F-2314-4125-9C88-A13CC994E012}">
  <dimension ref="A1:AW40"/>
  <sheetViews>
    <sheetView topLeftCell="AT1" zoomScale="76" zoomScaleNormal="56" workbookViewId="0">
      <selection activeCell="AU20" sqref="AU20"/>
    </sheetView>
  </sheetViews>
  <sheetFormatPr defaultRowHeight="14.25" x14ac:dyDescent="0.45"/>
  <cols>
    <col min="1" max="1" width="14.1328125" customWidth="1"/>
    <col min="2" max="2" width="12.73046875" customWidth="1"/>
    <col min="27" max="27" width="7" customWidth="1"/>
    <col min="30" max="30" width="9.796875" customWidth="1"/>
    <col min="32" max="32" width="17.265625" customWidth="1"/>
    <col min="33" max="33" width="15.53125" customWidth="1"/>
    <col min="45" max="45" width="7.3984375" customWidth="1"/>
    <col min="46" max="46" width="69.53125" customWidth="1"/>
    <col min="47" max="47" width="67.33203125" customWidth="1"/>
    <col min="49" max="49" width="45.6640625" customWidth="1"/>
  </cols>
  <sheetData>
    <row r="1" spans="1:49" ht="18" x14ac:dyDescent="0.55000000000000004">
      <c r="A1" s="43" t="s">
        <v>89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49" x14ac:dyDescent="0.45">
      <c r="A2" s="44" t="s">
        <v>88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49" x14ac:dyDescent="0.45">
      <c r="A3" s="44" t="s">
        <v>84</v>
      </c>
      <c r="B3" s="44"/>
      <c r="C3" s="44"/>
    </row>
    <row r="4" spans="1:49" x14ac:dyDescent="0.45">
      <c r="A4" s="44" t="s">
        <v>85</v>
      </c>
      <c r="B4" s="44"/>
      <c r="C4" s="44"/>
    </row>
    <row r="5" spans="1:49" x14ac:dyDescent="0.45">
      <c r="A5" s="44" t="s">
        <v>86</v>
      </c>
      <c r="B5" s="44"/>
      <c r="C5" s="44"/>
    </row>
    <row r="6" spans="1:49" x14ac:dyDescent="0.45">
      <c r="A6" s="44" t="s">
        <v>87</v>
      </c>
      <c r="B6" s="44"/>
      <c r="C6" s="44"/>
    </row>
    <row r="7" spans="1:49" x14ac:dyDescent="0.45">
      <c r="A7" s="47" t="s">
        <v>90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</row>
    <row r="8" spans="1:49" x14ac:dyDescent="0.45">
      <c r="A8" s="30" t="s">
        <v>82</v>
      </c>
      <c r="B8" s="26" t="s">
        <v>83</v>
      </c>
      <c r="C8" s="29" t="s">
        <v>81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6" t="s">
        <v>3</v>
      </c>
      <c r="AD8" s="46" t="s">
        <v>158</v>
      </c>
      <c r="AE8" s="46" t="s">
        <v>78</v>
      </c>
      <c r="AF8" s="46" t="s">
        <v>159</v>
      </c>
      <c r="AG8" s="46" t="s">
        <v>160</v>
      </c>
    </row>
    <row r="9" spans="1:49" x14ac:dyDescent="0.45">
      <c r="A9" s="30"/>
      <c r="B9" s="45"/>
      <c r="C9" s="3" t="s">
        <v>53</v>
      </c>
      <c r="D9" s="3" t="s">
        <v>54</v>
      </c>
      <c r="E9" s="3" t="s">
        <v>55</v>
      </c>
      <c r="F9" s="3" t="s">
        <v>56</v>
      </c>
      <c r="G9" s="3" t="s">
        <v>57</v>
      </c>
      <c r="H9" s="3" t="s">
        <v>58</v>
      </c>
      <c r="I9" s="3" t="s">
        <v>59</v>
      </c>
      <c r="J9" s="3" t="s">
        <v>60</v>
      </c>
      <c r="K9" s="3" t="s">
        <v>61</v>
      </c>
      <c r="L9" s="3" t="s">
        <v>62</v>
      </c>
      <c r="M9" s="3" t="s">
        <v>63</v>
      </c>
      <c r="N9" s="3" t="s">
        <v>64</v>
      </c>
      <c r="O9" s="3" t="s">
        <v>65</v>
      </c>
      <c r="P9" s="3" t="s">
        <v>66</v>
      </c>
      <c r="Q9" s="3" t="s">
        <v>67</v>
      </c>
      <c r="R9" s="3" t="s">
        <v>68</v>
      </c>
      <c r="S9" s="3" t="s">
        <v>69</v>
      </c>
      <c r="T9" s="3" t="s">
        <v>70</v>
      </c>
      <c r="U9" s="3" t="s">
        <v>71</v>
      </c>
      <c r="V9" s="3" t="s">
        <v>72</v>
      </c>
      <c r="W9" s="3" t="s">
        <v>73</v>
      </c>
      <c r="X9" s="3" t="s">
        <v>74</v>
      </c>
      <c r="Y9" s="3" t="s">
        <v>75</v>
      </c>
      <c r="Z9" s="3" t="s">
        <v>76</v>
      </c>
      <c r="AA9" s="26"/>
      <c r="AD9" s="46"/>
      <c r="AE9" s="46"/>
      <c r="AF9" s="26"/>
      <c r="AG9" s="26"/>
    </row>
    <row r="10" spans="1:49" x14ac:dyDescent="0.45">
      <c r="A10" s="35" t="s">
        <v>4</v>
      </c>
      <c r="B10" s="3" t="s">
        <v>6</v>
      </c>
      <c r="C10" s="4">
        <v>9</v>
      </c>
      <c r="D10" s="4">
        <v>3</v>
      </c>
      <c r="E10" s="4">
        <v>3</v>
      </c>
      <c r="F10" s="4">
        <v>9</v>
      </c>
      <c r="G10" s="4">
        <v>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>
        <v>3</v>
      </c>
      <c r="Y10" s="4"/>
      <c r="Z10" s="4"/>
      <c r="AA10" s="4">
        <v>7</v>
      </c>
      <c r="AD10" s="3" t="s">
        <v>59</v>
      </c>
      <c r="AE10" s="3">
        <f>I33</f>
        <v>1883</v>
      </c>
      <c r="AF10" s="3">
        <f>AE10</f>
        <v>1883</v>
      </c>
      <c r="AG10" s="14">
        <f>AF10/$AF$33</f>
        <v>9.4756441223832533E-2</v>
      </c>
      <c r="AS10" s="3" t="s">
        <v>162</v>
      </c>
      <c r="AT10" s="3" t="s">
        <v>158</v>
      </c>
      <c r="AU10" s="3" t="s">
        <v>163</v>
      </c>
      <c r="AV10" s="3" t="s">
        <v>164</v>
      </c>
    </row>
    <row r="11" spans="1:49" x14ac:dyDescent="0.45">
      <c r="A11" s="36"/>
      <c r="B11" s="3" t="s">
        <v>28</v>
      </c>
      <c r="C11" s="4">
        <v>3</v>
      </c>
      <c r="D11" s="4">
        <v>3</v>
      </c>
      <c r="E11" s="4">
        <v>9</v>
      </c>
      <c r="F11" s="4">
        <v>3</v>
      </c>
      <c r="G11" s="4">
        <v>9</v>
      </c>
      <c r="H11" s="4">
        <v>3</v>
      </c>
      <c r="I11" s="4">
        <v>3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>
        <v>3</v>
      </c>
      <c r="Y11" s="4"/>
      <c r="Z11" s="4"/>
      <c r="AA11" s="4">
        <v>7</v>
      </c>
      <c r="AD11" s="3" t="s">
        <v>74</v>
      </c>
      <c r="AE11" s="3">
        <f>X33</f>
        <v>1860</v>
      </c>
      <c r="AF11" s="3">
        <f>AF10+AE11</f>
        <v>3743</v>
      </c>
      <c r="AG11" s="14">
        <f t="shared" ref="AG11:AG33" si="0">AF11/$AF$33</f>
        <v>0.18835547504025765</v>
      </c>
      <c r="AS11" s="3" t="s">
        <v>59</v>
      </c>
      <c r="AT11" s="7" t="s">
        <v>97</v>
      </c>
      <c r="AU11" s="7" t="s">
        <v>187</v>
      </c>
      <c r="AV11" s="6" t="s">
        <v>165</v>
      </c>
      <c r="AW11" t="s">
        <v>185</v>
      </c>
    </row>
    <row r="12" spans="1:49" ht="28.5" x14ac:dyDescent="0.45">
      <c r="A12" s="36"/>
      <c r="B12" s="3" t="s">
        <v>29</v>
      </c>
      <c r="C12" s="4">
        <v>3</v>
      </c>
      <c r="D12" s="4">
        <v>1</v>
      </c>
      <c r="E12" s="4">
        <v>9</v>
      </c>
      <c r="F12" s="4">
        <v>9</v>
      </c>
      <c r="G12" s="4">
        <v>3</v>
      </c>
      <c r="H12" s="4">
        <v>3</v>
      </c>
      <c r="I12" s="4">
        <v>3</v>
      </c>
      <c r="J12" s="4"/>
      <c r="K12" s="4"/>
      <c r="L12" s="4"/>
      <c r="M12" s="4"/>
      <c r="N12" s="4"/>
      <c r="O12" s="4"/>
      <c r="P12" s="4"/>
      <c r="Q12" s="4"/>
      <c r="R12" s="4">
        <v>1</v>
      </c>
      <c r="S12" s="4"/>
      <c r="T12" s="4"/>
      <c r="U12" s="4"/>
      <c r="V12" s="4"/>
      <c r="W12" s="4"/>
      <c r="X12" s="4">
        <v>1</v>
      </c>
      <c r="Y12" s="4"/>
      <c r="Z12" s="4"/>
      <c r="AA12" s="4">
        <v>8</v>
      </c>
      <c r="AD12" s="3" t="s">
        <v>57</v>
      </c>
      <c r="AE12" s="3">
        <f>G33</f>
        <v>1540</v>
      </c>
      <c r="AF12" s="3">
        <f>AF11+AE12</f>
        <v>5283</v>
      </c>
      <c r="AG12" s="14">
        <f t="shared" si="0"/>
        <v>0.26585144927536231</v>
      </c>
      <c r="AS12" s="3" t="s">
        <v>74</v>
      </c>
      <c r="AT12" s="7" t="s">
        <v>112</v>
      </c>
      <c r="AU12" s="7" t="s">
        <v>188</v>
      </c>
      <c r="AV12" s="6" t="s">
        <v>166</v>
      </c>
    </row>
    <row r="13" spans="1:49" ht="14.25" customHeight="1" x14ac:dyDescent="0.45">
      <c r="A13" s="36"/>
      <c r="B13" s="3" t="s">
        <v>30</v>
      </c>
      <c r="C13" s="4">
        <v>3</v>
      </c>
      <c r="D13" s="4">
        <v>3</v>
      </c>
      <c r="E13" s="4">
        <v>1</v>
      </c>
      <c r="F13" s="4">
        <v>9</v>
      </c>
      <c r="G13" s="4"/>
      <c r="H13" s="4"/>
      <c r="I13" s="4">
        <v>3</v>
      </c>
      <c r="J13" s="4"/>
      <c r="K13" s="4"/>
      <c r="L13" s="4"/>
      <c r="M13" s="4"/>
      <c r="N13" s="4"/>
      <c r="O13" s="4">
        <v>3</v>
      </c>
      <c r="P13" s="4"/>
      <c r="Q13" s="4"/>
      <c r="R13" s="4">
        <v>1</v>
      </c>
      <c r="S13" s="4"/>
      <c r="T13" s="4"/>
      <c r="U13" s="4">
        <v>1</v>
      </c>
      <c r="V13" s="4"/>
      <c r="W13" s="4"/>
      <c r="X13" s="4"/>
      <c r="Y13" s="4"/>
      <c r="Z13" s="4"/>
      <c r="AA13" s="4">
        <v>5</v>
      </c>
      <c r="AD13" s="3" t="s">
        <v>62</v>
      </c>
      <c r="AE13" s="3">
        <f>L33</f>
        <v>1332</v>
      </c>
      <c r="AF13" s="3">
        <f t="shared" ref="AF13:AF33" si="1">AF12+AE13</f>
        <v>6615</v>
      </c>
      <c r="AG13" s="14">
        <f t="shared" si="0"/>
        <v>0.3328804347826087</v>
      </c>
      <c r="AS13" s="3" t="s">
        <v>57</v>
      </c>
      <c r="AT13" s="7" t="s">
        <v>95</v>
      </c>
      <c r="AU13" s="7" t="s">
        <v>189</v>
      </c>
      <c r="AV13" s="6" t="s">
        <v>167</v>
      </c>
    </row>
    <row r="14" spans="1:49" x14ac:dyDescent="0.45">
      <c r="A14" s="37"/>
      <c r="B14" s="3" t="s">
        <v>31</v>
      </c>
      <c r="C14" s="4"/>
      <c r="D14" s="4">
        <v>3</v>
      </c>
      <c r="E14" s="4">
        <v>3</v>
      </c>
      <c r="F14" s="4">
        <v>1</v>
      </c>
      <c r="G14" s="4">
        <v>9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>
        <v>1</v>
      </c>
      <c r="S14" s="4"/>
      <c r="T14" s="4">
        <v>3</v>
      </c>
      <c r="U14" s="4">
        <v>3</v>
      </c>
      <c r="V14" s="4"/>
      <c r="W14" s="4"/>
      <c r="X14" s="4"/>
      <c r="Y14" s="4"/>
      <c r="Z14" s="4"/>
      <c r="AA14" s="4">
        <v>8</v>
      </c>
      <c r="AD14" s="3" t="s">
        <v>66</v>
      </c>
      <c r="AE14" s="3">
        <f>P33</f>
        <v>1268</v>
      </c>
      <c r="AF14" s="3">
        <f t="shared" si="1"/>
        <v>7883</v>
      </c>
      <c r="AG14" s="14">
        <f t="shared" si="0"/>
        <v>0.396688808373591</v>
      </c>
      <c r="AS14" s="3" t="s">
        <v>62</v>
      </c>
      <c r="AT14" s="7" t="s">
        <v>100</v>
      </c>
      <c r="AU14" s="7" t="s">
        <v>190</v>
      </c>
      <c r="AV14" s="6" t="s">
        <v>168</v>
      </c>
    </row>
    <row r="15" spans="1:49" x14ac:dyDescent="0.45">
      <c r="A15" s="35" t="s">
        <v>49</v>
      </c>
      <c r="B15" s="3" t="s">
        <v>32</v>
      </c>
      <c r="C15" s="4"/>
      <c r="D15" s="4"/>
      <c r="E15" s="4">
        <v>9</v>
      </c>
      <c r="F15" s="4"/>
      <c r="G15" s="4">
        <v>9</v>
      </c>
      <c r="H15" s="4">
        <v>9</v>
      </c>
      <c r="I15" s="4">
        <v>9</v>
      </c>
      <c r="J15" s="4"/>
      <c r="K15" s="4"/>
      <c r="L15" s="4">
        <v>3</v>
      </c>
      <c r="M15" s="4"/>
      <c r="N15" s="4"/>
      <c r="O15" s="4"/>
      <c r="P15" s="4"/>
      <c r="Q15" s="4"/>
      <c r="R15" s="4"/>
      <c r="S15" s="4"/>
      <c r="T15" s="4">
        <v>1</v>
      </c>
      <c r="U15" s="4"/>
      <c r="V15" s="4"/>
      <c r="W15" s="4"/>
      <c r="X15" s="4"/>
      <c r="Y15" s="4"/>
      <c r="Z15" s="4"/>
      <c r="AA15" s="4">
        <v>6</v>
      </c>
      <c r="AD15" s="3" t="s">
        <v>67</v>
      </c>
      <c r="AE15" s="3">
        <f>Q33</f>
        <v>992</v>
      </c>
      <c r="AF15" s="3">
        <f t="shared" si="1"/>
        <v>8875</v>
      </c>
      <c r="AG15" s="14">
        <f t="shared" si="0"/>
        <v>0.44660829307568439</v>
      </c>
      <c r="AS15" s="3" t="s">
        <v>66</v>
      </c>
      <c r="AT15" s="7" t="s">
        <v>104</v>
      </c>
      <c r="AU15" s="7" t="s">
        <v>179</v>
      </c>
      <c r="AV15" s="6" t="s">
        <v>169</v>
      </c>
    </row>
    <row r="16" spans="1:49" ht="28.5" x14ac:dyDescent="0.45">
      <c r="A16" s="36"/>
      <c r="B16" s="3" t="s">
        <v>33</v>
      </c>
      <c r="C16" s="4"/>
      <c r="D16" s="4"/>
      <c r="E16" s="4">
        <v>1</v>
      </c>
      <c r="F16" s="4"/>
      <c r="G16" s="4"/>
      <c r="H16" s="4">
        <v>1</v>
      </c>
      <c r="I16" s="4">
        <v>3</v>
      </c>
      <c r="J16" s="4">
        <v>9</v>
      </c>
      <c r="K16" s="4">
        <v>9</v>
      </c>
      <c r="L16" s="4">
        <v>3</v>
      </c>
      <c r="M16" s="4"/>
      <c r="N16" s="4"/>
      <c r="O16" s="4"/>
      <c r="P16" s="4"/>
      <c r="Q16" s="4"/>
      <c r="R16" s="4"/>
      <c r="S16" s="4"/>
      <c r="T16" s="4"/>
      <c r="U16" s="4"/>
      <c r="V16" s="4">
        <v>3</v>
      </c>
      <c r="W16" s="4"/>
      <c r="X16" s="4"/>
      <c r="Y16" s="4"/>
      <c r="Z16" s="4"/>
      <c r="AA16" s="4">
        <v>6</v>
      </c>
      <c r="AD16" s="3" t="s">
        <v>68</v>
      </c>
      <c r="AE16" s="3">
        <f>R33</f>
        <v>966</v>
      </c>
      <c r="AF16" s="3">
        <f t="shared" si="1"/>
        <v>9841</v>
      </c>
      <c r="AG16" s="14">
        <f t="shared" si="0"/>
        <v>0.4952194041867955</v>
      </c>
      <c r="AS16" s="3" t="s">
        <v>67</v>
      </c>
      <c r="AT16" s="7" t="s">
        <v>105</v>
      </c>
      <c r="AU16" s="7" t="s">
        <v>191</v>
      </c>
      <c r="AV16" s="6" t="s">
        <v>170</v>
      </c>
    </row>
    <row r="17" spans="1:48" x14ac:dyDescent="0.45">
      <c r="A17" s="36"/>
      <c r="B17" s="3" t="s">
        <v>34</v>
      </c>
      <c r="C17" s="4"/>
      <c r="D17" s="4"/>
      <c r="E17" s="4"/>
      <c r="F17" s="4"/>
      <c r="G17" s="4"/>
      <c r="H17" s="4"/>
      <c r="I17" s="4">
        <v>1</v>
      </c>
      <c r="J17" s="4"/>
      <c r="K17" s="4"/>
      <c r="L17" s="4">
        <v>3</v>
      </c>
      <c r="M17" s="4"/>
      <c r="N17" s="4"/>
      <c r="O17" s="4"/>
      <c r="P17" s="4"/>
      <c r="Q17" s="4"/>
      <c r="R17" s="4"/>
      <c r="S17" s="4"/>
      <c r="T17" s="4"/>
      <c r="U17" s="4"/>
      <c r="V17" s="4">
        <v>3</v>
      </c>
      <c r="W17" s="4"/>
      <c r="X17" s="4"/>
      <c r="Y17" s="4"/>
      <c r="Z17" s="4"/>
      <c r="AA17" s="4">
        <v>7</v>
      </c>
      <c r="AD17" s="3" t="s">
        <v>75</v>
      </c>
      <c r="AE17" s="3">
        <f>Y33</f>
        <v>945</v>
      </c>
      <c r="AF17" s="3">
        <f t="shared" si="1"/>
        <v>10786</v>
      </c>
      <c r="AG17" s="14">
        <f t="shared" si="0"/>
        <v>0.54277375201288247</v>
      </c>
      <c r="AS17" s="3" t="s">
        <v>68</v>
      </c>
      <c r="AT17" s="7" t="s">
        <v>106</v>
      </c>
      <c r="AU17" s="7" t="s">
        <v>180</v>
      </c>
      <c r="AV17" s="6" t="s">
        <v>171</v>
      </c>
    </row>
    <row r="18" spans="1:48" ht="28.5" x14ac:dyDescent="0.45">
      <c r="A18" s="37"/>
      <c r="B18" s="3" t="s">
        <v>35</v>
      </c>
      <c r="C18" s="4"/>
      <c r="D18" s="4"/>
      <c r="E18" s="4"/>
      <c r="F18" s="4"/>
      <c r="G18" s="4"/>
      <c r="H18" s="4"/>
      <c r="I18" s="4">
        <v>3</v>
      </c>
      <c r="J18" s="4"/>
      <c r="K18" s="4"/>
      <c r="L18" s="4">
        <v>9</v>
      </c>
      <c r="M18" s="4">
        <v>3</v>
      </c>
      <c r="N18" s="4"/>
      <c r="O18" s="4"/>
      <c r="P18" s="4"/>
      <c r="Q18" s="4">
        <v>9</v>
      </c>
      <c r="R18" s="4"/>
      <c r="S18" s="4"/>
      <c r="T18" s="4"/>
      <c r="U18" s="4"/>
      <c r="V18" s="4"/>
      <c r="W18" s="4"/>
      <c r="X18" s="4"/>
      <c r="Y18" s="4"/>
      <c r="Z18" s="4"/>
      <c r="AA18" s="4">
        <v>8</v>
      </c>
      <c r="AD18" s="3" t="s">
        <v>63</v>
      </c>
      <c r="AE18" s="3">
        <f>M33</f>
        <v>927</v>
      </c>
      <c r="AF18" s="3">
        <f t="shared" si="1"/>
        <v>11713</v>
      </c>
      <c r="AG18" s="14">
        <f t="shared" si="0"/>
        <v>0.58942230273752017</v>
      </c>
      <c r="AS18" s="3" t="s">
        <v>75</v>
      </c>
      <c r="AT18" s="7" t="s">
        <v>113</v>
      </c>
      <c r="AU18" s="7" t="s">
        <v>192</v>
      </c>
      <c r="AV18" s="6" t="s">
        <v>172</v>
      </c>
    </row>
    <row r="19" spans="1:48" x14ac:dyDescent="0.45">
      <c r="A19" s="35" t="s">
        <v>50</v>
      </c>
      <c r="B19" s="3" t="s">
        <v>36</v>
      </c>
      <c r="C19" s="4"/>
      <c r="D19" s="4"/>
      <c r="E19" s="4">
        <v>1</v>
      </c>
      <c r="F19" s="4"/>
      <c r="G19" s="4"/>
      <c r="H19" s="4"/>
      <c r="I19" s="4">
        <v>9</v>
      </c>
      <c r="J19" s="4"/>
      <c r="K19" s="4"/>
      <c r="L19" s="4"/>
      <c r="M19" s="4">
        <v>3</v>
      </c>
      <c r="N19" s="4">
        <v>1</v>
      </c>
      <c r="O19" s="4">
        <v>9</v>
      </c>
      <c r="P19" s="4">
        <v>9</v>
      </c>
      <c r="Q19" s="4"/>
      <c r="R19" s="4"/>
      <c r="S19" s="4">
        <v>3</v>
      </c>
      <c r="T19" s="4"/>
      <c r="U19" s="4"/>
      <c r="V19" s="4"/>
      <c r="W19" s="4"/>
      <c r="X19" s="4"/>
      <c r="Y19" s="4"/>
      <c r="Z19" s="4"/>
      <c r="AA19" s="4">
        <v>6</v>
      </c>
      <c r="AD19" s="3" t="s">
        <v>71</v>
      </c>
      <c r="AE19" s="3">
        <f>U33</f>
        <v>865</v>
      </c>
      <c r="AF19" s="3">
        <f t="shared" si="1"/>
        <v>12578</v>
      </c>
      <c r="AG19" s="14">
        <f t="shared" si="0"/>
        <v>0.63295088566827695</v>
      </c>
      <c r="AS19" s="3" t="s">
        <v>63</v>
      </c>
      <c r="AT19" s="7" t="s">
        <v>101</v>
      </c>
      <c r="AU19" s="7" t="s">
        <v>193</v>
      </c>
      <c r="AV19" s="6" t="s">
        <v>173</v>
      </c>
    </row>
    <row r="20" spans="1:48" x14ac:dyDescent="0.45">
      <c r="A20" s="36"/>
      <c r="B20" s="3" t="s">
        <v>37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>
        <v>9</v>
      </c>
      <c r="N20" s="4">
        <v>9</v>
      </c>
      <c r="O20" s="4"/>
      <c r="P20" s="4">
        <v>3</v>
      </c>
      <c r="Q20" s="4"/>
      <c r="R20" s="4"/>
      <c r="S20" s="4">
        <v>3</v>
      </c>
      <c r="T20" s="4"/>
      <c r="U20" s="4"/>
      <c r="V20" s="4"/>
      <c r="W20" s="4"/>
      <c r="X20" s="4">
        <v>1</v>
      </c>
      <c r="Y20" s="4"/>
      <c r="Z20" s="4"/>
      <c r="AA20" s="4">
        <v>7</v>
      </c>
      <c r="AD20" s="3" t="s">
        <v>56</v>
      </c>
      <c r="AE20" s="3">
        <f>F33</f>
        <v>836</v>
      </c>
      <c r="AF20" s="3">
        <f t="shared" si="1"/>
        <v>13414</v>
      </c>
      <c r="AG20" s="14">
        <f t="shared" si="0"/>
        <v>0.6750201288244766</v>
      </c>
      <c r="AS20" s="3" t="s">
        <v>71</v>
      </c>
      <c r="AT20" s="7" t="s">
        <v>109</v>
      </c>
      <c r="AU20" s="7" t="s">
        <v>181</v>
      </c>
      <c r="AV20" s="6" t="s">
        <v>174</v>
      </c>
    </row>
    <row r="21" spans="1:48" x14ac:dyDescent="0.45">
      <c r="A21" s="36"/>
      <c r="B21" s="3" t="s">
        <v>38</v>
      </c>
      <c r="C21" s="4"/>
      <c r="D21" s="4"/>
      <c r="E21" s="4"/>
      <c r="F21" s="4"/>
      <c r="G21" s="4"/>
      <c r="H21" s="4"/>
      <c r="I21" s="4"/>
      <c r="J21" s="4"/>
      <c r="K21" s="4"/>
      <c r="L21" s="4">
        <v>9</v>
      </c>
      <c r="M21" s="4">
        <v>9</v>
      </c>
      <c r="N21" s="4">
        <v>9</v>
      </c>
      <c r="O21" s="4">
        <v>1</v>
      </c>
      <c r="P21" s="4">
        <v>3</v>
      </c>
      <c r="Q21" s="4">
        <v>9</v>
      </c>
      <c r="R21" s="4"/>
      <c r="S21" s="4">
        <v>3</v>
      </c>
      <c r="T21" s="4"/>
      <c r="U21" s="4"/>
      <c r="V21" s="4"/>
      <c r="W21" s="4"/>
      <c r="X21" s="4">
        <v>3</v>
      </c>
      <c r="Y21" s="4"/>
      <c r="Z21" s="4"/>
      <c r="AA21" s="4">
        <v>8</v>
      </c>
      <c r="AD21" s="3" t="s">
        <v>55</v>
      </c>
      <c r="AE21" s="3">
        <f>E33</f>
        <v>792</v>
      </c>
      <c r="AF21" s="3">
        <f t="shared" si="1"/>
        <v>14206</v>
      </c>
      <c r="AG21" s="14">
        <f t="shared" si="0"/>
        <v>0.71487520128824478</v>
      </c>
      <c r="AS21" s="3" t="s">
        <v>56</v>
      </c>
      <c r="AT21" s="7" t="s">
        <v>94</v>
      </c>
      <c r="AU21" s="7" t="s">
        <v>186</v>
      </c>
      <c r="AV21" s="6" t="s">
        <v>175</v>
      </c>
    </row>
    <row r="22" spans="1:48" x14ac:dyDescent="0.45">
      <c r="A22" s="36"/>
      <c r="B22" s="3" t="s">
        <v>39</v>
      </c>
      <c r="C22" s="4"/>
      <c r="D22" s="4"/>
      <c r="E22" s="4"/>
      <c r="F22" s="4"/>
      <c r="G22" s="4"/>
      <c r="H22" s="4"/>
      <c r="I22" s="4"/>
      <c r="J22" s="4"/>
      <c r="K22" s="4"/>
      <c r="L22" s="4">
        <v>3</v>
      </c>
      <c r="M22" s="4">
        <v>3</v>
      </c>
      <c r="N22" s="4">
        <v>9</v>
      </c>
      <c r="O22" s="4">
        <v>1</v>
      </c>
      <c r="P22" s="4">
        <v>1</v>
      </c>
      <c r="Q22" s="4">
        <v>9</v>
      </c>
      <c r="R22" s="4"/>
      <c r="S22" s="4">
        <v>3</v>
      </c>
      <c r="T22" s="4"/>
      <c r="U22" s="4"/>
      <c r="V22" s="4"/>
      <c r="W22" s="4"/>
      <c r="X22" s="4">
        <v>3</v>
      </c>
      <c r="Y22" s="4"/>
      <c r="Z22" s="4"/>
      <c r="AA22" s="4">
        <v>7</v>
      </c>
      <c r="AD22" s="3" t="s">
        <v>73</v>
      </c>
      <c r="AE22" s="3">
        <f>W33</f>
        <v>735</v>
      </c>
      <c r="AF22" s="3">
        <f t="shared" si="1"/>
        <v>14941</v>
      </c>
      <c r="AG22" s="14">
        <f t="shared" si="0"/>
        <v>0.75186191626409016</v>
      </c>
      <c r="AS22" s="3" t="s">
        <v>55</v>
      </c>
      <c r="AT22" s="7" t="s">
        <v>93</v>
      </c>
      <c r="AU22" s="7" t="s">
        <v>182</v>
      </c>
      <c r="AV22" s="6" t="s">
        <v>176</v>
      </c>
    </row>
    <row r="23" spans="1:48" x14ac:dyDescent="0.45">
      <c r="A23" s="36"/>
      <c r="B23" s="3" t="s">
        <v>40</v>
      </c>
      <c r="C23" s="4"/>
      <c r="D23" s="4"/>
      <c r="E23" s="4">
        <v>1</v>
      </c>
      <c r="F23" s="4"/>
      <c r="G23" s="4"/>
      <c r="H23" s="4"/>
      <c r="I23" s="4">
        <v>3</v>
      </c>
      <c r="J23" s="4"/>
      <c r="K23" s="4"/>
      <c r="L23" s="4"/>
      <c r="M23" s="4"/>
      <c r="N23" s="4"/>
      <c r="O23" s="4">
        <v>1</v>
      </c>
      <c r="P23" s="4"/>
      <c r="Q23" s="4"/>
      <c r="R23" s="4">
        <v>9</v>
      </c>
      <c r="S23" s="4"/>
      <c r="T23" s="4"/>
      <c r="U23" s="4"/>
      <c r="V23" s="4"/>
      <c r="W23" s="4"/>
      <c r="X23" s="4"/>
      <c r="Y23" s="4"/>
      <c r="Z23" s="4"/>
      <c r="AA23" s="4">
        <v>6</v>
      </c>
      <c r="AD23" s="3" t="s">
        <v>64</v>
      </c>
      <c r="AE23" s="3">
        <f>N33</f>
        <v>729</v>
      </c>
      <c r="AF23" s="3">
        <f t="shared" si="1"/>
        <v>15670</v>
      </c>
      <c r="AG23" s="18">
        <f t="shared" si="0"/>
        <v>0.78854669887278583</v>
      </c>
      <c r="AS23" s="3" t="s">
        <v>73</v>
      </c>
      <c r="AT23" s="19" t="s">
        <v>111</v>
      </c>
      <c r="AU23" s="7" t="s">
        <v>183</v>
      </c>
      <c r="AV23" s="6" t="s">
        <v>177</v>
      </c>
    </row>
    <row r="24" spans="1:48" x14ac:dyDescent="0.45">
      <c r="A24" s="36"/>
      <c r="B24" s="3" t="s">
        <v>41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>
        <v>3</v>
      </c>
      <c r="N24" s="4"/>
      <c r="O24" s="4"/>
      <c r="P24" s="4">
        <v>9</v>
      </c>
      <c r="Q24" s="4">
        <v>1</v>
      </c>
      <c r="R24" s="4"/>
      <c r="S24" s="4">
        <v>3</v>
      </c>
      <c r="T24" s="4">
        <v>3</v>
      </c>
      <c r="U24" s="4"/>
      <c r="V24" s="4"/>
      <c r="W24" s="4"/>
      <c r="X24" s="4">
        <v>3</v>
      </c>
      <c r="Y24" s="4"/>
      <c r="Z24" s="4"/>
      <c r="AA24" s="4">
        <v>7</v>
      </c>
      <c r="AD24" s="3" t="s">
        <v>60</v>
      </c>
      <c r="AE24" s="3">
        <f>J33</f>
        <v>516</v>
      </c>
      <c r="AF24" s="3">
        <f t="shared" si="1"/>
        <v>16186</v>
      </c>
      <c r="AG24" s="14">
        <f t="shared" si="0"/>
        <v>0.81451288244766507</v>
      </c>
      <c r="AS24" s="3" t="s">
        <v>64</v>
      </c>
      <c r="AT24" s="7" t="s">
        <v>102</v>
      </c>
      <c r="AU24" s="7" t="s">
        <v>184</v>
      </c>
      <c r="AV24" s="6" t="s">
        <v>178</v>
      </c>
    </row>
    <row r="25" spans="1:48" x14ac:dyDescent="0.45">
      <c r="A25" s="37"/>
      <c r="B25" s="3" t="s">
        <v>42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>
        <v>3</v>
      </c>
      <c r="N25" s="4"/>
      <c r="O25" s="4"/>
      <c r="P25" s="4">
        <v>9</v>
      </c>
      <c r="Q25" s="4">
        <v>1</v>
      </c>
      <c r="R25" s="4"/>
      <c r="S25" s="4">
        <v>3</v>
      </c>
      <c r="T25" s="4">
        <v>9</v>
      </c>
      <c r="U25" s="4">
        <v>3</v>
      </c>
      <c r="V25" s="4"/>
      <c r="W25" s="4"/>
      <c r="X25" s="4">
        <v>3</v>
      </c>
      <c r="Y25" s="4"/>
      <c r="Z25" s="4"/>
      <c r="AA25" s="4">
        <v>9</v>
      </c>
      <c r="AD25" s="3" t="s">
        <v>65</v>
      </c>
      <c r="AE25" s="3">
        <f>O33</f>
        <v>516</v>
      </c>
      <c r="AF25" s="3">
        <f t="shared" si="1"/>
        <v>16702</v>
      </c>
      <c r="AG25" s="14">
        <f t="shared" si="0"/>
        <v>0.8404790660225443</v>
      </c>
    </row>
    <row r="26" spans="1:48" x14ac:dyDescent="0.45">
      <c r="A26" s="35" t="s">
        <v>51</v>
      </c>
      <c r="B26" s="3" t="s">
        <v>43</v>
      </c>
      <c r="C26" s="4"/>
      <c r="D26" s="4">
        <v>3</v>
      </c>
      <c r="E26" s="4">
        <v>1</v>
      </c>
      <c r="F26" s="4"/>
      <c r="G26" s="4"/>
      <c r="H26" s="4"/>
      <c r="I26" s="4">
        <v>3</v>
      </c>
      <c r="J26" s="4"/>
      <c r="K26" s="4"/>
      <c r="L26" s="4"/>
      <c r="M26" s="4"/>
      <c r="N26" s="4"/>
      <c r="O26" s="4">
        <v>3</v>
      </c>
      <c r="P26" s="4"/>
      <c r="Q26" s="4"/>
      <c r="R26" s="4">
        <v>9</v>
      </c>
      <c r="S26" s="4"/>
      <c r="T26" s="4"/>
      <c r="U26" s="4">
        <v>9</v>
      </c>
      <c r="V26" s="4"/>
      <c r="W26" s="4"/>
      <c r="X26" s="4">
        <v>1</v>
      </c>
      <c r="Y26" s="4"/>
      <c r="Z26" s="4"/>
      <c r="AA26" s="4">
        <v>7</v>
      </c>
      <c r="AD26" s="3" t="s">
        <v>53</v>
      </c>
      <c r="AE26" s="3">
        <f>C33</f>
        <v>492</v>
      </c>
      <c r="AF26" s="3">
        <f t="shared" si="1"/>
        <v>17194</v>
      </c>
      <c r="AG26" s="14">
        <f t="shared" si="0"/>
        <v>0.86523752012882449</v>
      </c>
    </row>
    <row r="27" spans="1:48" x14ac:dyDescent="0.45">
      <c r="A27" s="36"/>
      <c r="B27" s="3" t="s">
        <v>44</v>
      </c>
      <c r="C27" s="4"/>
      <c r="D27" s="4">
        <v>1</v>
      </c>
      <c r="E27" s="4"/>
      <c r="F27" s="4"/>
      <c r="G27" s="4"/>
      <c r="H27" s="4"/>
      <c r="I27" s="4">
        <v>1</v>
      </c>
      <c r="J27" s="4">
        <v>9</v>
      </c>
      <c r="K27" s="4">
        <v>9</v>
      </c>
      <c r="L27" s="4"/>
      <c r="M27" s="4"/>
      <c r="N27" s="4"/>
      <c r="O27" s="4">
        <v>3</v>
      </c>
      <c r="P27" s="4">
        <v>3</v>
      </c>
      <c r="Q27" s="4"/>
      <c r="R27" s="4"/>
      <c r="S27" s="4">
        <v>1</v>
      </c>
      <c r="T27" s="4"/>
      <c r="U27" s="4">
        <v>9</v>
      </c>
      <c r="V27" s="4">
        <v>9</v>
      </c>
      <c r="W27" s="4"/>
      <c r="X27" s="4">
        <v>1</v>
      </c>
      <c r="Y27" s="4"/>
      <c r="Z27" s="4"/>
      <c r="AA27" s="4">
        <v>6</v>
      </c>
      <c r="AD27" s="3" t="s">
        <v>54</v>
      </c>
      <c r="AE27" s="3">
        <f>D33</f>
        <v>464</v>
      </c>
      <c r="AF27" s="3">
        <f t="shared" si="1"/>
        <v>17658</v>
      </c>
      <c r="AG27" s="14">
        <f t="shared" si="0"/>
        <v>0.88858695652173914</v>
      </c>
    </row>
    <row r="28" spans="1:48" x14ac:dyDescent="0.45">
      <c r="A28" s="36"/>
      <c r="B28" s="3" t="s">
        <v>45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>
        <v>3</v>
      </c>
      <c r="N28" s="4"/>
      <c r="O28" s="4"/>
      <c r="P28" s="4">
        <v>3</v>
      </c>
      <c r="Q28" s="4">
        <v>1</v>
      </c>
      <c r="R28" s="4"/>
      <c r="S28" s="4"/>
      <c r="T28" s="4"/>
      <c r="U28" s="4"/>
      <c r="V28" s="4"/>
      <c r="W28" s="4">
        <v>9</v>
      </c>
      <c r="X28" s="4">
        <v>9</v>
      </c>
      <c r="Y28" s="4">
        <v>9</v>
      </c>
      <c r="Z28" s="4">
        <v>3</v>
      </c>
      <c r="AA28" s="4">
        <v>5</v>
      </c>
      <c r="AD28" s="3" t="s">
        <v>76</v>
      </c>
      <c r="AE28" s="3">
        <f>Z33</f>
        <v>459</v>
      </c>
      <c r="AF28" s="3">
        <f t="shared" si="1"/>
        <v>18117</v>
      </c>
      <c r="AG28" s="14">
        <f t="shared" si="0"/>
        <v>0.91168478260869568</v>
      </c>
    </row>
    <row r="29" spans="1:48" x14ac:dyDescent="0.45">
      <c r="A29" s="37"/>
      <c r="B29" s="3" t="s">
        <v>46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>
        <v>3</v>
      </c>
      <c r="N29" s="4"/>
      <c r="O29" s="4"/>
      <c r="P29" s="4">
        <v>3</v>
      </c>
      <c r="Q29" s="4">
        <v>1</v>
      </c>
      <c r="R29" s="4"/>
      <c r="S29" s="4"/>
      <c r="T29" s="4"/>
      <c r="U29" s="4"/>
      <c r="V29" s="4"/>
      <c r="W29" s="4">
        <v>9</v>
      </c>
      <c r="X29" s="4">
        <v>9</v>
      </c>
      <c r="Y29" s="4">
        <v>9</v>
      </c>
      <c r="Z29" s="4">
        <v>3</v>
      </c>
      <c r="AA29" s="4">
        <v>7</v>
      </c>
      <c r="AD29" s="3" t="s">
        <v>69</v>
      </c>
      <c r="AE29" s="3">
        <f>S33</f>
        <v>414</v>
      </c>
      <c r="AF29" s="3">
        <f t="shared" si="1"/>
        <v>18531</v>
      </c>
      <c r="AG29" s="14">
        <f t="shared" si="0"/>
        <v>0.93251811594202894</v>
      </c>
    </row>
    <row r="30" spans="1:48" x14ac:dyDescent="0.45">
      <c r="A30" s="35" t="s">
        <v>52</v>
      </c>
      <c r="B30" s="3" t="s">
        <v>47</v>
      </c>
      <c r="C30" s="4"/>
      <c r="D30" s="4"/>
      <c r="E30" s="4"/>
      <c r="F30" s="4"/>
      <c r="G30" s="4"/>
      <c r="H30" s="4"/>
      <c r="I30" s="4">
        <v>1</v>
      </c>
      <c r="J30" s="4">
        <v>3</v>
      </c>
      <c r="K30" s="4">
        <v>3</v>
      </c>
      <c r="L30" s="4"/>
      <c r="M30" s="4">
        <v>3</v>
      </c>
      <c r="N30" s="4">
        <v>3</v>
      </c>
      <c r="O30" s="4"/>
      <c r="P30" s="4">
        <v>1</v>
      </c>
      <c r="Q30" s="4">
        <v>1</v>
      </c>
      <c r="R30" s="4"/>
      <c r="S30" s="4"/>
      <c r="T30" s="4"/>
      <c r="U30" s="4"/>
      <c r="V30" s="4"/>
      <c r="W30" s="4">
        <v>3</v>
      </c>
      <c r="X30" s="4">
        <v>3</v>
      </c>
      <c r="Y30" s="4">
        <v>9</v>
      </c>
      <c r="Z30" s="4">
        <v>9</v>
      </c>
      <c r="AA30" s="4">
        <v>7</v>
      </c>
      <c r="AD30" s="3" t="s">
        <v>70</v>
      </c>
      <c r="AE30" s="3">
        <f>T33</f>
        <v>396</v>
      </c>
      <c r="AF30" s="3">
        <f t="shared" si="1"/>
        <v>18927</v>
      </c>
      <c r="AG30" s="14">
        <f t="shared" si="0"/>
        <v>0.95244565217391308</v>
      </c>
    </row>
    <row r="31" spans="1:48" x14ac:dyDescent="0.45">
      <c r="A31" s="37"/>
      <c r="B31" s="3" t="s">
        <v>48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>
        <v>1</v>
      </c>
      <c r="N31" s="4">
        <v>3</v>
      </c>
      <c r="O31" s="4"/>
      <c r="P31" s="4">
        <v>1</v>
      </c>
      <c r="Q31" s="4">
        <v>1</v>
      </c>
      <c r="R31" s="4"/>
      <c r="S31" s="4"/>
      <c r="T31" s="4"/>
      <c r="U31" s="4"/>
      <c r="V31" s="4"/>
      <c r="W31" s="4">
        <v>3</v>
      </c>
      <c r="X31" s="4">
        <v>3</v>
      </c>
      <c r="Y31" s="4">
        <v>3</v>
      </c>
      <c r="Z31" s="4">
        <v>9</v>
      </c>
      <c r="AA31" s="4">
        <v>6</v>
      </c>
      <c r="AD31" s="3" t="s">
        <v>72</v>
      </c>
      <c r="AE31" s="3">
        <f>V33</f>
        <v>372</v>
      </c>
      <c r="AF31" s="3">
        <f t="shared" si="1"/>
        <v>19299</v>
      </c>
      <c r="AG31" s="14">
        <f t="shared" si="0"/>
        <v>0.97116545893719808</v>
      </c>
    </row>
    <row r="32" spans="1:48" x14ac:dyDescent="0.45">
      <c r="A32" s="4"/>
      <c r="B32" s="3" t="s">
        <v>77</v>
      </c>
      <c r="C32" s="4">
        <v>4</v>
      </c>
      <c r="D32" s="4">
        <v>4</v>
      </c>
      <c r="E32" s="4">
        <v>3</v>
      </c>
      <c r="F32" s="4">
        <v>4</v>
      </c>
      <c r="G32" s="4">
        <v>7</v>
      </c>
      <c r="H32" s="4">
        <v>3</v>
      </c>
      <c r="I32" s="4">
        <v>7</v>
      </c>
      <c r="J32" s="4">
        <v>4</v>
      </c>
      <c r="K32" s="4">
        <v>2</v>
      </c>
      <c r="L32" s="4">
        <v>6</v>
      </c>
      <c r="M32" s="4">
        <v>3</v>
      </c>
      <c r="N32" s="4">
        <v>3</v>
      </c>
      <c r="O32" s="4">
        <v>4</v>
      </c>
      <c r="P32" s="4">
        <v>4</v>
      </c>
      <c r="Q32" s="4">
        <v>4</v>
      </c>
      <c r="R32" s="4">
        <v>7</v>
      </c>
      <c r="S32" s="4">
        <v>3</v>
      </c>
      <c r="T32" s="4">
        <v>3</v>
      </c>
      <c r="U32" s="4">
        <v>5</v>
      </c>
      <c r="V32" s="4">
        <v>4</v>
      </c>
      <c r="W32" s="4">
        <v>5</v>
      </c>
      <c r="X32" s="4">
        <v>6</v>
      </c>
      <c r="Y32" s="4">
        <v>5</v>
      </c>
      <c r="Z32" s="4">
        <v>3</v>
      </c>
      <c r="AA32" s="4"/>
      <c r="AD32" s="3" t="s">
        <v>58</v>
      </c>
      <c r="AE32" s="3">
        <f>H33</f>
        <v>315</v>
      </c>
      <c r="AF32" s="3">
        <f t="shared" si="1"/>
        <v>19614</v>
      </c>
      <c r="AG32" s="14">
        <f t="shared" si="0"/>
        <v>0.98701690821256038</v>
      </c>
    </row>
    <row r="33" spans="1:33" x14ac:dyDescent="0.45">
      <c r="A33" s="4"/>
      <c r="B33" s="3" t="s">
        <v>78</v>
      </c>
      <c r="C33" s="4">
        <f>C32*SUMPRODUCT(C10:C31,$AA$10:$AA$31)</f>
        <v>492</v>
      </c>
      <c r="D33" s="4">
        <f t="shared" ref="D33:Z33" si="2">D32*SUMPRODUCT(D10:D31,$AA$10:$AA$31)</f>
        <v>464</v>
      </c>
      <c r="E33" s="4">
        <f t="shared" si="2"/>
        <v>792</v>
      </c>
      <c r="F33" s="4">
        <f t="shared" si="2"/>
        <v>836</v>
      </c>
      <c r="G33" s="13">
        <f t="shared" si="2"/>
        <v>1540</v>
      </c>
      <c r="H33" s="4">
        <f t="shared" si="2"/>
        <v>315</v>
      </c>
      <c r="I33" s="13">
        <f t="shared" si="2"/>
        <v>1883</v>
      </c>
      <c r="J33" s="4">
        <f t="shared" si="2"/>
        <v>516</v>
      </c>
      <c r="K33" s="4">
        <f t="shared" si="2"/>
        <v>258</v>
      </c>
      <c r="L33" s="4">
        <f t="shared" si="2"/>
        <v>1332</v>
      </c>
      <c r="M33" s="4">
        <f t="shared" si="2"/>
        <v>927</v>
      </c>
      <c r="N33" s="4">
        <f t="shared" si="2"/>
        <v>729</v>
      </c>
      <c r="O33" s="4">
        <f t="shared" si="2"/>
        <v>516</v>
      </c>
      <c r="P33" s="4">
        <f t="shared" si="2"/>
        <v>1268</v>
      </c>
      <c r="Q33" s="4">
        <f t="shared" si="2"/>
        <v>992</v>
      </c>
      <c r="R33" s="4">
        <f t="shared" si="2"/>
        <v>966</v>
      </c>
      <c r="S33" s="4">
        <f t="shared" si="2"/>
        <v>414</v>
      </c>
      <c r="T33" s="4">
        <f t="shared" si="2"/>
        <v>396</v>
      </c>
      <c r="U33" s="4">
        <f t="shared" si="2"/>
        <v>865</v>
      </c>
      <c r="V33" s="4">
        <f t="shared" si="2"/>
        <v>372</v>
      </c>
      <c r="W33" s="4">
        <f t="shared" si="2"/>
        <v>735</v>
      </c>
      <c r="X33" s="13">
        <f t="shared" si="2"/>
        <v>1860</v>
      </c>
      <c r="Y33" s="4">
        <f t="shared" si="2"/>
        <v>945</v>
      </c>
      <c r="Z33" s="4">
        <f t="shared" si="2"/>
        <v>459</v>
      </c>
      <c r="AA33" s="4"/>
      <c r="AD33" s="3" t="s">
        <v>61</v>
      </c>
      <c r="AE33" s="3">
        <f>K33</f>
        <v>258</v>
      </c>
      <c r="AF33" s="3">
        <f t="shared" si="1"/>
        <v>19872</v>
      </c>
      <c r="AG33" s="14">
        <f t="shared" si="0"/>
        <v>1</v>
      </c>
    </row>
    <row r="34" spans="1:33" x14ac:dyDescent="0.45">
      <c r="A34" s="4"/>
      <c r="B34" s="3" t="s">
        <v>79</v>
      </c>
      <c r="C34" s="4">
        <v>17</v>
      </c>
      <c r="D34" s="4">
        <v>18</v>
      </c>
      <c r="E34" s="4">
        <v>12</v>
      </c>
      <c r="F34" s="4">
        <v>11</v>
      </c>
      <c r="G34" s="4">
        <v>3</v>
      </c>
      <c r="H34" s="4">
        <v>23</v>
      </c>
      <c r="I34" s="4">
        <v>1</v>
      </c>
      <c r="J34" s="4">
        <v>15</v>
      </c>
      <c r="K34" s="4">
        <v>24</v>
      </c>
      <c r="L34" s="4">
        <v>4</v>
      </c>
      <c r="M34" s="4">
        <v>9</v>
      </c>
      <c r="N34" s="4">
        <v>14</v>
      </c>
      <c r="O34" s="4">
        <v>16</v>
      </c>
      <c r="P34" s="4">
        <v>5</v>
      </c>
      <c r="Q34" s="4">
        <v>6</v>
      </c>
      <c r="R34" s="4">
        <v>7</v>
      </c>
      <c r="S34" s="4">
        <v>20</v>
      </c>
      <c r="T34" s="4">
        <v>21</v>
      </c>
      <c r="U34" s="4">
        <v>10</v>
      </c>
      <c r="V34" s="4">
        <v>22</v>
      </c>
      <c r="W34" s="4">
        <v>13</v>
      </c>
      <c r="X34" s="4">
        <v>2</v>
      </c>
      <c r="Y34" s="4">
        <v>8</v>
      </c>
      <c r="Z34" s="4">
        <v>19</v>
      </c>
      <c r="AA34" s="4"/>
      <c r="AD34" s="3" t="s">
        <v>161</v>
      </c>
      <c r="AE34" s="4">
        <f>SUM(AE10:AE33)</f>
        <v>19872</v>
      </c>
      <c r="AF34" s="4"/>
      <c r="AG34" s="4"/>
    </row>
    <row r="36" spans="1:33" x14ac:dyDescent="0.45">
      <c r="C36" t="s">
        <v>59</v>
      </c>
    </row>
    <row r="37" spans="1:33" x14ac:dyDescent="0.45">
      <c r="C37" t="s">
        <v>74</v>
      </c>
    </row>
    <row r="38" spans="1:33" x14ac:dyDescent="0.45">
      <c r="C38" t="s">
        <v>57</v>
      </c>
    </row>
    <row r="39" spans="1:33" x14ac:dyDescent="0.45">
      <c r="C39" t="s">
        <v>62</v>
      </c>
    </row>
    <row r="40" spans="1:33" x14ac:dyDescent="0.45">
      <c r="C40" t="s">
        <v>66</v>
      </c>
    </row>
  </sheetData>
  <mergeCells count="20">
    <mergeCell ref="A6:C6"/>
    <mergeCell ref="A1:L1"/>
    <mergeCell ref="A2:M2"/>
    <mergeCell ref="A3:C3"/>
    <mergeCell ref="A4:C4"/>
    <mergeCell ref="A5:C5"/>
    <mergeCell ref="A7:AA7"/>
    <mergeCell ref="A8:A9"/>
    <mergeCell ref="B8:B9"/>
    <mergeCell ref="C8:Z8"/>
    <mergeCell ref="AA8:AA9"/>
    <mergeCell ref="A26:A29"/>
    <mergeCell ref="A30:A31"/>
    <mergeCell ref="AE8:AE9"/>
    <mergeCell ref="AF8:AF9"/>
    <mergeCell ref="AG8:AG9"/>
    <mergeCell ref="A10:A14"/>
    <mergeCell ref="A15:A18"/>
    <mergeCell ref="A19:A25"/>
    <mergeCell ref="AD8:AD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5987E-3C80-4A8A-965D-0DDA5C27F4A7}">
  <dimension ref="A2:V21"/>
  <sheetViews>
    <sheetView tabSelected="1" topLeftCell="N1" zoomScale="97" workbookViewId="0">
      <selection activeCell="V19" sqref="V19"/>
    </sheetView>
  </sheetViews>
  <sheetFormatPr defaultRowHeight="14.25" x14ac:dyDescent="0.45"/>
  <cols>
    <col min="1" max="1" width="7.6640625" customWidth="1"/>
    <col min="2" max="2" width="12" customWidth="1"/>
    <col min="20" max="20" width="65.265625" customWidth="1"/>
    <col min="25" max="25" width="28.46484375" customWidth="1"/>
  </cols>
  <sheetData>
    <row r="2" spans="1:22" x14ac:dyDescent="0.45">
      <c r="A2" s="48"/>
      <c r="B2" s="26" t="s">
        <v>195</v>
      </c>
      <c r="C2" s="29" t="s">
        <v>201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6" t="s">
        <v>196</v>
      </c>
      <c r="S2" s="15" t="s">
        <v>2</v>
      </c>
      <c r="T2" s="15" t="s">
        <v>194</v>
      </c>
      <c r="U2" s="15" t="s">
        <v>199</v>
      </c>
      <c r="V2" s="15" t="s">
        <v>202</v>
      </c>
    </row>
    <row r="3" spans="1:22" x14ac:dyDescent="0.45">
      <c r="A3" s="48"/>
      <c r="B3" s="26"/>
      <c r="C3" s="3" t="s">
        <v>165</v>
      </c>
      <c r="D3" s="3" t="s">
        <v>166</v>
      </c>
      <c r="E3" s="3" t="s">
        <v>167</v>
      </c>
      <c r="F3" s="3" t="s">
        <v>168</v>
      </c>
      <c r="G3" s="3" t="s">
        <v>169</v>
      </c>
      <c r="H3" s="3" t="s">
        <v>170</v>
      </c>
      <c r="I3" s="3" t="s">
        <v>171</v>
      </c>
      <c r="J3" s="3" t="s">
        <v>172</v>
      </c>
      <c r="K3" s="3" t="s">
        <v>173</v>
      </c>
      <c r="L3" s="3" t="s">
        <v>174</v>
      </c>
      <c r="M3" s="3" t="s">
        <v>175</v>
      </c>
      <c r="N3" s="3" t="s">
        <v>176</v>
      </c>
      <c r="O3" s="3" t="s">
        <v>177</v>
      </c>
      <c r="P3" s="3" t="s">
        <v>178</v>
      </c>
      <c r="Q3" s="26"/>
      <c r="S3" s="2" t="s">
        <v>166</v>
      </c>
      <c r="T3" s="7" t="s">
        <v>203</v>
      </c>
      <c r="U3" s="2">
        <v>8845</v>
      </c>
      <c r="V3" s="2">
        <v>1</v>
      </c>
    </row>
    <row r="4" spans="1:22" x14ac:dyDescent="0.45">
      <c r="B4" s="3" t="s">
        <v>59</v>
      </c>
      <c r="C4" s="4">
        <v>9</v>
      </c>
      <c r="D4" s="4"/>
      <c r="E4" s="4">
        <v>3</v>
      </c>
      <c r="F4" s="4">
        <v>3</v>
      </c>
      <c r="G4" s="4"/>
      <c r="H4" s="4"/>
      <c r="I4" s="4"/>
      <c r="J4" s="4"/>
      <c r="K4" s="4"/>
      <c r="L4" s="4"/>
      <c r="M4" s="4"/>
      <c r="N4" s="4"/>
      <c r="O4" s="4"/>
      <c r="P4" s="4"/>
      <c r="Q4" s="3" cm="1">
        <f t="array" ref="Q4:Q17">'HOR1 Model experiment'!AE10:AE23</f>
        <v>1883</v>
      </c>
      <c r="S4" s="2" t="s">
        <v>169</v>
      </c>
      <c r="T4" s="7" t="s">
        <v>179</v>
      </c>
      <c r="U4" s="2">
        <v>7395</v>
      </c>
      <c r="V4" s="2">
        <v>2</v>
      </c>
    </row>
    <row r="5" spans="1:22" x14ac:dyDescent="0.45">
      <c r="B5" s="3" t="s">
        <v>74</v>
      </c>
      <c r="C5" s="4"/>
      <c r="D5" s="4">
        <v>9</v>
      </c>
      <c r="E5" s="4"/>
      <c r="F5" s="4"/>
      <c r="G5" s="4">
        <v>1</v>
      </c>
      <c r="H5" s="4">
        <v>1</v>
      </c>
      <c r="I5" s="4"/>
      <c r="J5" s="4">
        <v>1</v>
      </c>
      <c r="K5" s="4">
        <v>3</v>
      </c>
      <c r="L5" s="4"/>
      <c r="M5" s="4">
        <v>1</v>
      </c>
      <c r="N5" s="4"/>
      <c r="O5" s="4"/>
      <c r="P5" s="4">
        <v>1</v>
      </c>
      <c r="Q5" s="3">
        <v>1860</v>
      </c>
      <c r="S5" s="2" t="s">
        <v>173</v>
      </c>
      <c r="T5" s="7" t="s">
        <v>193</v>
      </c>
      <c r="U5" s="2">
        <v>6749</v>
      </c>
      <c r="V5" s="2">
        <v>3</v>
      </c>
    </row>
    <row r="6" spans="1:22" x14ac:dyDescent="0.45">
      <c r="B6" s="3" t="s">
        <v>57</v>
      </c>
      <c r="C6" s="4">
        <v>3</v>
      </c>
      <c r="D6" s="4"/>
      <c r="E6" s="4">
        <v>3</v>
      </c>
      <c r="F6" s="4"/>
      <c r="G6" s="4"/>
      <c r="H6" s="4"/>
      <c r="I6" s="4">
        <v>1</v>
      </c>
      <c r="J6" s="4"/>
      <c r="K6" s="4"/>
      <c r="L6" s="4"/>
      <c r="M6" s="4"/>
      <c r="N6" s="4">
        <v>3</v>
      </c>
      <c r="O6" s="4"/>
      <c r="P6" s="4"/>
      <c r="Q6" s="3">
        <v>1540</v>
      </c>
      <c r="S6" s="2" t="s">
        <v>165</v>
      </c>
      <c r="T6" s="7" t="s">
        <v>187</v>
      </c>
      <c r="U6" s="2">
        <v>6373</v>
      </c>
      <c r="V6" s="2">
        <v>4</v>
      </c>
    </row>
    <row r="7" spans="1:22" x14ac:dyDescent="0.45">
      <c r="B7" s="3" t="s">
        <v>62</v>
      </c>
      <c r="C7" s="4">
        <v>1</v>
      </c>
      <c r="D7" s="4"/>
      <c r="E7" s="4">
        <v>1</v>
      </c>
      <c r="F7" s="4">
        <v>9</v>
      </c>
      <c r="G7" s="4"/>
      <c r="H7" s="4"/>
      <c r="I7" s="4"/>
      <c r="J7" s="4"/>
      <c r="K7" s="4"/>
      <c r="L7" s="4"/>
      <c r="M7" s="4"/>
      <c r="N7" s="4"/>
      <c r="O7" s="4"/>
      <c r="P7" s="4">
        <v>1</v>
      </c>
      <c r="Q7" s="3">
        <v>1332</v>
      </c>
      <c r="S7" s="2" t="s">
        <v>178</v>
      </c>
      <c r="T7" s="7" t="s">
        <v>184</v>
      </c>
      <c r="U7" s="2">
        <v>6089</v>
      </c>
      <c r="V7" s="2">
        <v>5</v>
      </c>
    </row>
    <row r="8" spans="1:22" x14ac:dyDescent="0.45">
      <c r="B8" s="3" t="s">
        <v>66</v>
      </c>
      <c r="C8" s="4"/>
      <c r="D8" s="4">
        <v>1</v>
      </c>
      <c r="E8" s="4"/>
      <c r="F8" s="4"/>
      <c r="G8" s="4">
        <v>9</v>
      </c>
      <c r="H8" s="4">
        <v>3</v>
      </c>
      <c r="I8" s="4"/>
      <c r="J8" s="4">
        <v>1</v>
      </c>
      <c r="K8" s="4">
        <v>3</v>
      </c>
      <c r="L8" s="4"/>
      <c r="M8" s="4"/>
      <c r="N8" s="4"/>
      <c r="O8" s="4"/>
      <c r="P8" s="4">
        <v>3</v>
      </c>
      <c r="Q8" s="3">
        <v>1268</v>
      </c>
      <c r="S8" s="2" t="s">
        <v>168</v>
      </c>
      <c r="T8" s="7" t="s">
        <v>190</v>
      </c>
      <c r="U8" s="2">
        <v>5879</v>
      </c>
      <c r="V8" s="2">
        <v>6</v>
      </c>
    </row>
    <row r="9" spans="1:22" ht="28.5" x14ac:dyDescent="0.45">
      <c r="B9" s="3" t="s">
        <v>67</v>
      </c>
      <c r="C9" s="4"/>
      <c r="D9" s="4"/>
      <c r="E9" s="4"/>
      <c r="F9" s="4"/>
      <c r="G9" s="4">
        <v>3</v>
      </c>
      <c r="H9" s="4">
        <v>3</v>
      </c>
      <c r="I9" s="4"/>
      <c r="J9" s="4">
        <v>1</v>
      </c>
      <c r="K9" s="4">
        <v>1</v>
      </c>
      <c r="L9" s="4"/>
      <c r="M9" s="4"/>
      <c r="N9" s="4"/>
      <c r="O9" s="4"/>
      <c r="P9" s="4">
        <v>3</v>
      </c>
      <c r="Q9" s="3">
        <v>992</v>
      </c>
      <c r="S9" s="2" t="s">
        <v>172</v>
      </c>
      <c r="T9" s="7" t="s">
        <v>192</v>
      </c>
      <c r="U9" s="2">
        <v>4096</v>
      </c>
      <c r="V9" s="2">
        <v>7</v>
      </c>
    </row>
    <row r="10" spans="1:22" ht="28.5" x14ac:dyDescent="0.45">
      <c r="B10" s="3" t="s">
        <v>68</v>
      </c>
      <c r="C10" s="4">
        <v>1</v>
      </c>
      <c r="D10" s="4"/>
      <c r="E10" s="4"/>
      <c r="F10" s="4"/>
      <c r="G10" s="4">
        <v>1</v>
      </c>
      <c r="H10" s="4">
        <v>1</v>
      </c>
      <c r="I10" s="4">
        <v>9</v>
      </c>
      <c r="J10" s="4"/>
      <c r="K10" s="4"/>
      <c r="L10" s="4">
        <v>1</v>
      </c>
      <c r="M10" s="4"/>
      <c r="N10" s="4"/>
      <c r="O10" s="4"/>
      <c r="P10" s="4"/>
      <c r="Q10" s="3">
        <v>966</v>
      </c>
      <c r="S10" s="2" t="s">
        <v>167</v>
      </c>
      <c r="T10" s="7" t="s">
        <v>189</v>
      </c>
      <c r="U10" s="2">
        <v>3725</v>
      </c>
      <c r="V10" s="2">
        <v>8</v>
      </c>
    </row>
    <row r="11" spans="1:22" ht="28.5" x14ac:dyDescent="0.45">
      <c r="B11" s="3" t="s">
        <v>75</v>
      </c>
      <c r="C11" s="4"/>
      <c r="D11" s="4">
        <v>3</v>
      </c>
      <c r="E11" s="4"/>
      <c r="F11" s="4"/>
      <c r="G11" s="4"/>
      <c r="H11" s="4"/>
      <c r="I11" s="4"/>
      <c r="J11" s="4">
        <v>9</v>
      </c>
      <c r="K11" s="4">
        <v>3</v>
      </c>
      <c r="L11" s="4"/>
      <c r="M11" s="4"/>
      <c r="N11" s="4"/>
      <c r="O11" s="4">
        <v>1</v>
      </c>
      <c r="P11" s="4">
        <v>3</v>
      </c>
      <c r="Q11" s="3">
        <v>945</v>
      </c>
      <c r="S11" s="2" t="s">
        <v>170</v>
      </c>
      <c r="T11" s="7" t="s">
        <v>191</v>
      </c>
      <c r="U11" s="2">
        <v>3597</v>
      </c>
      <c r="V11" s="2">
        <v>9</v>
      </c>
    </row>
    <row r="12" spans="1:22" x14ac:dyDescent="0.45">
      <c r="B12" s="3" t="s">
        <v>63</v>
      </c>
      <c r="C12" s="4"/>
      <c r="D12" s="4">
        <v>1</v>
      </c>
      <c r="E12" s="4"/>
      <c r="F12" s="4"/>
      <c r="G12" s="4"/>
      <c r="H12" s="4"/>
      <c r="I12" s="4"/>
      <c r="J12" s="4"/>
      <c r="K12" s="4">
        <v>9</v>
      </c>
      <c r="L12" s="4"/>
      <c r="M12" s="4"/>
      <c r="N12" s="4"/>
      <c r="O12" s="4"/>
      <c r="P12" s="4">
        <v>3</v>
      </c>
      <c r="Q12" s="3">
        <v>927</v>
      </c>
      <c r="S12" s="2" t="s">
        <v>171</v>
      </c>
      <c r="T12" s="7" t="s">
        <v>180</v>
      </c>
      <c r="U12" s="2">
        <v>3369</v>
      </c>
      <c r="V12" s="2">
        <v>10</v>
      </c>
    </row>
    <row r="13" spans="1:22" x14ac:dyDescent="0.45">
      <c r="B13" s="3" t="s">
        <v>71</v>
      </c>
      <c r="C13" s="4"/>
      <c r="D13" s="4"/>
      <c r="E13" s="4"/>
      <c r="F13" s="4"/>
      <c r="G13" s="4">
        <v>3</v>
      </c>
      <c r="H13" s="4">
        <v>3</v>
      </c>
      <c r="I13" s="4">
        <v>1</v>
      </c>
      <c r="J13" s="4"/>
      <c r="K13" s="4"/>
      <c r="L13" s="4">
        <v>9</v>
      </c>
      <c r="M13" s="4"/>
      <c r="N13" s="4"/>
      <c r="O13" s="4"/>
      <c r="P13" s="4"/>
      <c r="Q13" s="3">
        <v>865</v>
      </c>
      <c r="S13" s="2" t="s">
        <v>177</v>
      </c>
      <c r="T13" s="7" t="s">
        <v>183</v>
      </c>
      <c r="U13" s="2">
        <v>3042</v>
      </c>
      <c r="V13" s="2">
        <v>11</v>
      </c>
    </row>
    <row r="14" spans="1:22" x14ac:dyDescent="0.45">
      <c r="B14" s="3" t="s">
        <v>56</v>
      </c>
      <c r="C14" s="4">
        <v>1</v>
      </c>
      <c r="D14" s="4">
        <v>3</v>
      </c>
      <c r="E14" s="4">
        <v>3</v>
      </c>
      <c r="F14" s="4"/>
      <c r="G14" s="4"/>
      <c r="H14" s="4"/>
      <c r="I14" s="4"/>
      <c r="J14" s="4">
        <v>1</v>
      </c>
      <c r="K14" s="4">
        <v>3</v>
      </c>
      <c r="L14" s="4"/>
      <c r="M14" s="4">
        <v>9</v>
      </c>
      <c r="N14" s="4"/>
      <c r="O14" s="4">
        <v>1</v>
      </c>
      <c r="P14" s="4"/>
      <c r="Q14" s="3">
        <v>836</v>
      </c>
      <c r="S14" s="2" t="s">
        <v>175</v>
      </c>
      <c r="T14" s="7" t="s">
        <v>186</v>
      </c>
      <c r="U14" s="2">
        <v>2897</v>
      </c>
      <c r="V14" s="2">
        <v>12</v>
      </c>
    </row>
    <row r="15" spans="1:22" x14ac:dyDescent="0.45">
      <c r="B15" s="3" t="s">
        <v>55</v>
      </c>
      <c r="C15" s="4">
        <v>1</v>
      </c>
      <c r="D15" s="4">
        <v>1</v>
      </c>
      <c r="E15" s="4">
        <v>1</v>
      </c>
      <c r="F15" s="4"/>
      <c r="G15" s="4">
        <v>3</v>
      </c>
      <c r="H15" s="4"/>
      <c r="I15" s="4">
        <v>3</v>
      </c>
      <c r="J15" s="4"/>
      <c r="K15" s="4"/>
      <c r="L15" s="4">
        <v>1</v>
      </c>
      <c r="M15" s="4"/>
      <c r="N15" s="4">
        <v>3</v>
      </c>
      <c r="O15" s="4"/>
      <c r="P15" s="4"/>
      <c r="Q15" s="3">
        <v>792</v>
      </c>
      <c r="S15" s="2" t="s">
        <v>176</v>
      </c>
      <c r="T15" s="7" t="s">
        <v>182</v>
      </c>
      <c r="U15" s="2">
        <v>2332</v>
      </c>
      <c r="V15" s="2">
        <v>13</v>
      </c>
    </row>
    <row r="16" spans="1:22" x14ac:dyDescent="0.45">
      <c r="B16" s="3" t="s">
        <v>73</v>
      </c>
      <c r="C16" s="4"/>
      <c r="D16" s="4">
        <v>1</v>
      </c>
      <c r="E16" s="4"/>
      <c r="F16" s="4"/>
      <c r="G16" s="4"/>
      <c r="H16" s="4"/>
      <c r="I16" s="4"/>
      <c r="J16" s="4">
        <v>1</v>
      </c>
      <c r="K16" s="4">
        <v>3</v>
      </c>
      <c r="L16" s="4"/>
      <c r="M16" s="4">
        <v>3</v>
      </c>
      <c r="N16" s="4"/>
      <c r="O16" s="4">
        <v>9</v>
      </c>
      <c r="P16" s="4">
        <v>3</v>
      </c>
      <c r="Q16" s="3">
        <v>735</v>
      </c>
      <c r="S16" s="2" t="s">
        <v>174</v>
      </c>
      <c r="T16" s="7" t="s">
        <v>181</v>
      </c>
      <c r="U16" s="2">
        <v>1909</v>
      </c>
      <c r="V16" s="2">
        <v>14</v>
      </c>
    </row>
    <row r="17" spans="2:19" x14ac:dyDescent="0.45">
      <c r="B17" s="3" t="s">
        <v>64</v>
      </c>
      <c r="C17" s="4"/>
      <c r="D17" s="4">
        <v>1</v>
      </c>
      <c r="E17" s="4"/>
      <c r="F17" s="4"/>
      <c r="G17" s="4"/>
      <c r="H17" s="4">
        <v>3</v>
      </c>
      <c r="I17" s="4"/>
      <c r="J17" s="4">
        <v>3</v>
      </c>
      <c r="K17" s="4">
        <v>1</v>
      </c>
      <c r="L17" s="4"/>
      <c r="M17" s="4"/>
      <c r="N17" s="4"/>
      <c r="O17" s="4">
        <v>1</v>
      </c>
      <c r="P17" s="4">
        <v>9</v>
      </c>
      <c r="Q17" s="3">
        <v>729</v>
      </c>
      <c r="S17" s="17"/>
    </row>
    <row r="18" spans="2:19" x14ac:dyDescent="0.45">
      <c r="B18" s="3" t="s">
        <v>197</v>
      </c>
      <c r="C18" s="2">
        <f>SUMPRODUCT($Q$4:$Q$17, C4:C17)</f>
        <v>25493</v>
      </c>
      <c r="D18" s="2">
        <f t="shared" ref="D18:P18" si="0">SUMPRODUCT($Q$4:$Q$17, D4:D17)</f>
        <v>26534</v>
      </c>
      <c r="E18" s="2">
        <f t="shared" si="0"/>
        <v>14901</v>
      </c>
      <c r="F18" s="2">
        <f t="shared" si="0"/>
        <v>17637</v>
      </c>
      <c r="G18" s="2">
        <f t="shared" si="0"/>
        <v>22185</v>
      </c>
      <c r="H18" s="2">
        <f t="shared" si="0"/>
        <v>14388</v>
      </c>
      <c r="I18" s="2">
        <f t="shared" si="0"/>
        <v>13475</v>
      </c>
      <c r="J18" s="2">
        <f t="shared" si="0"/>
        <v>16383</v>
      </c>
      <c r="K18" s="2">
        <f t="shared" si="0"/>
        <v>26996</v>
      </c>
      <c r="L18" s="2">
        <f t="shared" si="0"/>
        <v>9543</v>
      </c>
      <c r="M18" s="2">
        <f t="shared" si="0"/>
        <v>11589</v>
      </c>
      <c r="N18" s="2">
        <f t="shared" si="0"/>
        <v>6996</v>
      </c>
      <c r="O18" s="2">
        <f t="shared" si="0"/>
        <v>9125</v>
      </c>
      <c r="P18" s="2">
        <f t="shared" si="0"/>
        <v>24354</v>
      </c>
      <c r="Q18" s="4"/>
    </row>
    <row r="19" spans="2:19" x14ac:dyDescent="0.45">
      <c r="B19" s="3" t="s">
        <v>198</v>
      </c>
      <c r="C19" s="2">
        <v>4</v>
      </c>
      <c r="D19" s="2">
        <v>3</v>
      </c>
      <c r="E19" s="2">
        <v>4</v>
      </c>
      <c r="F19" s="2">
        <v>3</v>
      </c>
      <c r="G19" s="2">
        <v>3</v>
      </c>
      <c r="H19" s="2">
        <v>4</v>
      </c>
      <c r="I19" s="2">
        <v>4</v>
      </c>
      <c r="J19" s="2">
        <v>4</v>
      </c>
      <c r="K19" s="2">
        <v>4</v>
      </c>
      <c r="L19" s="2">
        <v>5</v>
      </c>
      <c r="M19" s="2">
        <v>4</v>
      </c>
      <c r="N19" s="2">
        <v>3</v>
      </c>
      <c r="O19" s="2">
        <v>3</v>
      </c>
      <c r="P19" s="2">
        <v>4</v>
      </c>
      <c r="Q19" s="4"/>
    </row>
    <row r="20" spans="2:19" x14ac:dyDescent="0.45">
      <c r="B20" s="3" t="s">
        <v>199</v>
      </c>
      <c r="C20" s="20">
        <f>C18/C19</f>
        <v>6373.25</v>
      </c>
      <c r="D20" s="20">
        <f t="shared" ref="D20:P20" si="1">D18/D19</f>
        <v>8844.6666666666661</v>
      </c>
      <c r="E20" s="20">
        <f t="shared" si="1"/>
        <v>3725.25</v>
      </c>
      <c r="F20" s="20">
        <f t="shared" si="1"/>
        <v>5879</v>
      </c>
      <c r="G20" s="20">
        <f t="shared" si="1"/>
        <v>7395</v>
      </c>
      <c r="H20" s="20">
        <f t="shared" si="1"/>
        <v>3597</v>
      </c>
      <c r="I20" s="20">
        <f t="shared" si="1"/>
        <v>3368.75</v>
      </c>
      <c r="J20" s="20">
        <f t="shared" si="1"/>
        <v>4095.75</v>
      </c>
      <c r="K20" s="20">
        <f t="shared" si="1"/>
        <v>6749</v>
      </c>
      <c r="L20" s="20">
        <f t="shared" si="1"/>
        <v>1908.6</v>
      </c>
      <c r="M20" s="20">
        <f t="shared" si="1"/>
        <v>2897.25</v>
      </c>
      <c r="N20" s="20">
        <f t="shared" si="1"/>
        <v>2332</v>
      </c>
      <c r="O20" s="20">
        <f t="shared" si="1"/>
        <v>3041.6666666666665</v>
      </c>
      <c r="P20" s="20">
        <f t="shared" si="1"/>
        <v>6088.5</v>
      </c>
      <c r="Q20" s="4"/>
    </row>
    <row r="21" spans="2:19" x14ac:dyDescent="0.45">
      <c r="B21" s="3" t="s">
        <v>200</v>
      </c>
      <c r="C21" s="2">
        <v>4</v>
      </c>
      <c r="D21" s="2">
        <v>1</v>
      </c>
      <c r="E21" s="2">
        <v>8</v>
      </c>
      <c r="F21" s="2">
        <v>6</v>
      </c>
      <c r="G21" s="2">
        <v>2</v>
      </c>
      <c r="H21" s="2">
        <v>9</v>
      </c>
      <c r="I21" s="2">
        <v>10</v>
      </c>
      <c r="J21" s="2">
        <v>7</v>
      </c>
      <c r="K21" s="2">
        <v>3</v>
      </c>
      <c r="L21" s="2">
        <v>14</v>
      </c>
      <c r="M21" s="2">
        <v>12</v>
      </c>
      <c r="N21" s="2">
        <v>13</v>
      </c>
      <c r="O21" s="2">
        <v>11</v>
      </c>
      <c r="P21" s="2">
        <v>5</v>
      </c>
      <c r="Q21" s="4"/>
    </row>
  </sheetData>
  <mergeCells count="4">
    <mergeCell ref="C2:P2"/>
    <mergeCell ref="A2:A3"/>
    <mergeCell ref="B2:B3"/>
    <mergeCell ref="Q2:Q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25000-3160-4172-96CA-BCC7821860D3}">
  <dimension ref="A1:AE41"/>
  <sheetViews>
    <sheetView zoomScale="87" zoomScaleNormal="97" workbookViewId="0">
      <selection activeCell="AA20" sqref="AA20"/>
    </sheetView>
  </sheetViews>
  <sheetFormatPr defaultRowHeight="14.25" x14ac:dyDescent="0.45"/>
  <cols>
    <col min="2" max="2" width="89.59765625" customWidth="1"/>
    <col min="3" max="3" width="12.73046875" customWidth="1"/>
    <col min="4" max="4" width="14.73046875" customWidth="1"/>
    <col min="5" max="5" width="14.1328125" customWidth="1"/>
    <col min="6" max="6" width="13.06640625" customWidth="1"/>
    <col min="7" max="7" width="14.19921875" customWidth="1"/>
    <col min="11" max="11" width="72.59765625" customWidth="1"/>
    <col min="19" max="19" width="73.9296875" customWidth="1"/>
    <col min="27" max="27" width="70.73046875" customWidth="1"/>
    <col min="34" max="34" width="36.265625" customWidth="1"/>
  </cols>
  <sheetData>
    <row r="1" spans="1:31" x14ac:dyDescent="0.45">
      <c r="A1" s="24" t="s">
        <v>2</v>
      </c>
      <c r="B1" s="24" t="s">
        <v>194</v>
      </c>
      <c r="C1" s="23" t="s">
        <v>204</v>
      </c>
      <c r="D1" s="23"/>
      <c r="E1" s="23"/>
      <c r="F1" s="23"/>
      <c r="G1" s="23"/>
      <c r="J1" s="24" t="s">
        <v>2</v>
      </c>
      <c r="K1" s="24" t="s">
        <v>194</v>
      </c>
      <c r="L1" s="23" t="s">
        <v>204</v>
      </c>
      <c r="M1" s="23"/>
      <c r="N1" s="23"/>
      <c r="O1" s="23"/>
      <c r="P1" s="23"/>
      <c r="R1" s="24" t="s">
        <v>2</v>
      </c>
      <c r="S1" s="24" t="s">
        <v>194</v>
      </c>
      <c r="T1" s="23" t="s">
        <v>204</v>
      </c>
      <c r="U1" s="23"/>
      <c r="V1" s="23"/>
      <c r="W1" s="23"/>
      <c r="X1" s="23"/>
      <c r="Z1" s="24" t="s">
        <v>2</v>
      </c>
      <c r="AA1" s="24" t="s">
        <v>194</v>
      </c>
      <c r="AB1" s="2" t="s">
        <v>227</v>
      </c>
      <c r="AC1" s="2" t="s">
        <v>228</v>
      </c>
      <c r="AD1" s="30" t="s">
        <v>231</v>
      </c>
      <c r="AE1" s="26" t="s">
        <v>202</v>
      </c>
    </row>
    <row r="2" spans="1:31" x14ac:dyDescent="0.45">
      <c r="A2" s="25"/>
      <c r="B2" s="25"/>
      <c r="C2" s="16" t="s">
        <v>205</v>
      </c>
      <c r="D2" s="16" t="s">
        <v>206</v>
      </c>
      <c r="E2" s="16" t="s">
        <v>207</v>
      </c>
      <c r="F2" s="16" t="s">
        <v>208</v>
      </c>
      <c r="G2" s="16" t="s">
        <v>209</v>
      </c>
      <c r="J2" s="25"/>
      <c r="K2" s="25"/>
      <c r="L2" s="16" t="s">
        <v>205</v>
      </c>
      <c r="M2" s="16" t="s">
        <v>206</v>
      </c>
      <c r="N2" s="16" t="s">
        <v>207</v>
      </c>
      <c r="O2" s="16" t="s">
        <v>208</v>
      </c>
      <c r="P2" s="16" t="s">
        <v>209</v>
      </c>
      <c r="R2" s="25"/>
      <c r="S2" s="25"/>
      <c r="T2" s="16" t="s">
        <v>205</v>
      </c>
      <c r="U2" s="16" t="s">
        <v>206</v>
      </c>
      <c r="V2" s="16" t="s">
        <v>207</v>
      </c>
      <c r="W2" s="16" t="s">
        <v>208</v>
      </c>
      <c r="X2" s="16" t="s">
        <v>209</v>
      </c>
      <c r="Z2" s="25"/>
      <c r="AA2" s="25"/>
      <c r="AB2" s="2" t="s">
        <v>229</v>
      </c>
      <c r="AC2" s="2" t="s">
        <v>230</v>
      </c>
      <c r="AD2" s="30"/>
      <c r="AE2" s="26"/>
    </row>
    <row r="3" spans="1:31" x14ac:dyDescent="0.45">
      <c r="A3" s="2" t="s">
        <v>166</v>
      </c>
      <c r="B3" s="7" t="s">
        <v>203</v>
      </c>
      <c r="C3" s="2">
        <v>1</v>
      </c>
      <c r="D3" s="2">
        <v>3</v>
      </c>
      <c r="E3" s="2">
        <v>4</v>
      </c>
      <c r="F3" s="2">
        <v>3</v>
      </c>
      <c r="G3" s="2">
        <v>3</v>
      </c>
      <c r="J3" s="2" t="s">
        <v>166</v>
      </c>
      <c r="K3" s="7" t="s">
        <v>203</v>
      </c>
      <c r="L3" s="21">
        <f>C3/C$17</f>
        <v>0.15249857033260467</v>
      </c>
      <c r="M3" s="21">
        <f>D3/D$17</f>
        <v>0.25264557631995571</v>
      </c>
      <c r="N3" s="21">
        <f>E3/E$17</f>
        <v>0.30237157840738177</v>
      </c>
      <c r="O3" s="21">
        <f>F3/F$17</f>
        <v>0.23145502494313785</v>
      </c>
      <c r="P3" s="21">
        <f>G3/G$17</f>
        <v>0.27735009811261452</v>
      </c>
      <c r="R3" s="2" t="s">
        <v>166</v>
      </c>
      <c r="S3" s="7" t="s">
        <v>203</v>
      </c>
      <c r="T3" s="21">
        <f>L3*20%</f>
        <v>3.0499714066520935E-2</v>
      </c>
      <c r="U3" s="21">
        <f>M3*15%</f>
        <v>3.7896836447993354E-2</v>
      </c>
      <c r="V3" s="21">
        <f>N3*20%</f>
        <v>6.0474315681476355E-2</v>
      </c>
      <c r="W3" s="21">
        <f>O3*35%</f>
        <v>8.1009258730098246E-2</v>
      </c>
      <c r="X3" s="21">
        <f>P3*10%</f>
        <v>2.7735009811261452E-2</v>
      </c>
      <c r="Z3" s="2" t="s">
        <v>166</v>
      </c>
      <c r="AA3" s="7" t="s">
        <v>203</v>
      </c>
      <c r="AB3" s="22" cm="1">
        <f t="array" ref="AB3:AB16">T3:T16</f>
        <v>3.0499714066520935E-2</v>
      </c>
      <c r="AC3" s="22">
        <f>SUM(U3:X3)</f>
        <v>0.20711542067082941</v>
      </c>
      <c r="AD3" s="22">
        <f>AC3-AB3</f>
        <v>0.17661570660430848</v>
      </c>
      <c r="AE3" s="3">
        <v>2</v>
      </c>
    </row>
    <row r="4" spans="1:31" x14ac:dyDescent="0.45">
      <c r="A4" s="2" t="s">
        <v>169</v>
      </c>
      <c r="B4" s="7" t="s">
        <v>179</v>
      </c>
      <c r="C4" s="2">
        <v>1</v>
      </c>
      <c r="D4" s="2">
        <v>4</v>
      </c>
      <c r="E4" s="2">
        <v>3</v>
      </c>
      <c r="F4" s="2">
        <v>3</v>
      </c>
      <c r="G4" s="2">
        <v>3</v>
      </c>
      <c r="J4" s="2" t="s">
        <v>169</v>
      </c>
      <c r="K4" s="7" t="s">
        <v>179</v>
      </c>
      <c r="L4" s="21">
        <f t="shared" ref="L4:L16" si="0">C4/C$17</f>
        <v>0.15249857033260467</v>
      </c>
      <c r="M4" s="21">
        <f t="shared" ref="M4:M16" si="1">D4/D$17</f>
        <v>0.33686076842660762</v>
      </c>
      <c r="N4" s="21">
        <f t="shared" ref="N4:N16" si="2">E4/E$17</f>
        <v>0.22677868380553634</v>
      </c>
      <c r="O4" s="21">
        <f t="shared" ref="O4:O16" si="3">F4/F$17</f>
        <v>0.23145502494313785</v>
      </c>
      <c r="P4" s="21">
        <f t="shared" ref="P4:P16" si="4">G4/G$17</f>
        <v>0.27735009811261452</v>
      </c>
      <c r="R4" s="2" t="s">
        <v>169</v>
      </c>
      <c r="S4" s="7" t="s">
        <v>179</v>
      </c>
      <c r="T4" s="21">
        <f t="shared" ref="T4:T16" si="5">L4*20%</f>
        <v>3.0499714066520935E-2</v>
      </c>
      <c r="U4" s="21">
        <f t="shared" ref="U4:U16" si="6">M4*15%</f>
        <v>5.0529115263991141E-2</v>
      </c>
      <c r="V4" s="21">
        <f t="shared" ref="V4:V16" si="7">N4*20%</f>
        <v>4.5355736761107268E-2</v>
      </c>
      <c r="W4" s="21">
        <f t="shared" ref="W4:W16" si="8">O4*35%</f>
        <v>8.1009258730098246E-2</v>
      </c>
      <c r="X4" s="21">
        <f t="shared" ref="X4:X16" si="9">P4*10%</f>
        <v>2.7735009811261452E-2</v>
      </c>
      <c r="Z4" s="2" t="s">
        <v>169</v>
      </c>
      <c r="AA4" s="7" t="s">
        <v>179</v>
      </c>
      <c r="AB4" s="22">
        <v>3.0499714066520935E-2</v>
      </c>
      <c r="AC4" s="22">
        <f t="shared" ref="AC4:AC16" si="10">SUM(U4:X4)</f>
        <v>0.20462912056645813</v>
      </c>
      <c r="AD4" s="22">
        <f t="shared" ref="AD4:AD16" si="11">AC4-AB4</f>
        <v>0.17412940649993719</v>
      </c>
      <c r="AE4" s="3">
        <v>3</v>
      </c>
    </row>
    <row r="5" spans="1:31" x14ac:dyDescent="0.45">
      <c r="A5" s="2" t="s">
        <v>173</v>
      </c>
      <c r="B5" s="7" t="s">
        <v>193</v>
      </c>
      <c r="C5" s="2">
        <v>2</v>
      </c>
      <c r="D5" s="2">
        <v>3</v>
      </c>
      <c r="E5" s="2">
        <v>4</v>
      </c>
      <c r="F5" s="2">
        <v>4</v>
      </c>
      <c r="G5" s="2">
        <v>4</v>
      </c>
      <c r="J5" s="2" t="s">
        <v>173</v>
      </c>
      <c r="K5" s="7" t="s">
        <v>193</v>
      </c>
      <c r="L5" s="21">
        <f t="shared" si="0"/>
        <v>0.30499714066520933</v>
      </c>
      <c r="M5" s="21">
        <f t="shared" si="1"/>
        <v>0.25264557631995571</v>
      </c>
      <c r="N5" s="21">
        <f t="shared" si="2"/>
        <v>0.30237157840738177</v>
      </c>
      <c r="O5" s="21">
        <f t="shared" si="3"/>
        <v>0.30860669992418382</v>
      </c>
      <c r="P5" s="21">
        <f t="shared" si="4"/>
        <v>0.36980013081681939</v>
      </c>
      <c r="R5" s="2" t="s">
        <v>173</v>
      </c>
      <c r="S5" s="7" t="s">
        <v>193</v>
      </c>
      <c r="T5" s="21">
        <f t="shared" si="5"/>
        <v>6.0999428133041871E-2</v>
      </c>
      <c r="U5" s="21">
        <f t="shared" si="6"/>
        <v>3.7896836447993354E-2</v>
      </c>
      <c r="V5" s="21">
        <f t="shared" si="7"/>
        <v>6.0474315681476355E-2</v>
      </c>
      <c r="W5" s="21">
        <f t="shared" si="8"/>
        <v>0.10801234497346433</v>
      </c>
      <c r="X5" s="21">
        <f t="shared" si="9"/>
        <v>3.6980013081681938E-2</v>
      </c>
      <c r="Z5" s="2" t="s">
        <v>173</v>
      </c>
      <c r="AA5" s="7" t="s">
        <v>193</v>
      </c>
      <c r="AB5" s="22">
        <v>6.0999428133041871E-2</v>
      </c>
      <c r="AC5" s="22">
        <f t="shared" si="10"/>
        <v>0.24336351018461597</v>
      </c>
      <c r="AD5" s="22">
        <f t="shared" si="11"/>
        <v>0.18236408205157409</v>
      </c>
      <c r="AE5" s="3">
        <v>1</v>
      </c>
    </row>
    <row r="6" spans="1:31" x14ac:dyDescent="0.45">
      <c r="A6" s="2" t="s">
        <v>165</v>
      </c>
      <c r="B6" s="7" t="s">
        <v>187</v>
      </c>
      <c r="C6" s="2">
        <v>2</v>
      </c>
      <c r="D6" s="2">
        <v>3</v>
      </c>
      <c r="E6" s="2">
        <v>4</v>
      </c>
      <c r="F6" s="2">
        <v>4</v>
      </c>
      <c r="G6" s="2">
        <v>3</v>
      </c>
      <c r="J6" s="2" t="s">
        <v>165</v>
      </c>
      <c r="K6" s="7" t="s">
        <v>187</v>
      </c>
      <c r="L6" s="21">
        <f t="shared" si="0"/>
        <v>0.30499714066520933</v>
      </c>
      <c r="M6" s="21">
        <f t="shared" si="1"/>
        <v>0.25264557631995571</v>
      </c>
      <c r="N6" s="21">
        <f t="shared" si="2"/>
        <v>0.30237157840738177</v>
      </c>
      <c r="O6" s="21">
        <f t="shared" si="3"/>
        <v>0.30860669992418382</v>
      </c>
      <c r="P6" s="21">
        <f t="shared" si="4"/>
        <v>0.27735009811261452</v>
      </c>
      <c r="R6" s="2" t="s">
        <v>165</v>
      </c>
      <c r="S6" s="7" t="s">
        <v>187</v>
      </c>
      <c r="T6" s="21">
        <f t="shared" si="5"/>
        <v>6.0999428133041871E-2</v>
      </c>
      <c r="U6" s="21">
        <f t="shared" si="6"/>
        <v>3.7896836447993354E-2</v>
      </c>
      <c r="V6" s="21">
        <f t="shared" si="7"/>
        <v>6.0474315681476355E-2</v>
      </c>
      <c r="W6" s="21">
        <f t="shared" si="8"/>
        <v>0.10801234497346433</v>
      </c>
      <c r="X6" s="21">
        <f t="shared" si="9"/>
        <v>2.7735009811261452E-2</v>
      </c>
      <c r="Z6" s="2" t="s">
        <v>165</v>
      </c>
      <c r="AA6" s="7" t="s">
        <v>187</v>
      </c>
      <c r="AB6" s="22">
        <v>6.0999428133041871E-2</v>
      </c>
      <c r="AC6" s="22">
        <f t="shared" si="10"/>
        <v>0.23411850691419547</v>
      </c>
      <c r="AD6" s="22">
        <f t="shared" si="11"/>
        <v>0.1731190787811536</v>
      </c>
      <c r="AE6" s="3">
        <v>5</v>
      </c>
    </row>
    <row r="7" spans="1:31" x14ac:dyDescent="0.45">
      <c r="A7" s="2" t="s">
        <v>178</v>
      </c>
      <c r="B7" s="7" t="s">
        <v>184</v>
      </c>
      <c r="C7" s="2">
        <v>2</v>
      </c>
      <c r="D7" s="2">
        <v>2</v>
      </c>
      <c r="E7" s="2">
        <v>3</v>
      </c>
      <c r="F7" s="2">
        <v>4</v>
      </c>
      <c r="G7" s="2">
        <v>4</v>
      </c>
      <c r="J7" s="2" t="s">
        <v>178</v>
      </c>
      <c r="K7" s="7" t="s">
        <v>184</v>
      </c>
      <c r="L7" s="21">
        <f t="shared" si="0"/>
        <v>0.30499714066520933</v>
      </c>
      <c r="M7" s="21">
        <f t="shared" si="1"/>
        <v>0.16843038421330381</v>
      </c>
      <c r="N7" s="21">
        <f t="shared" si="2"/>
        <v>0.22677868380553634</v>
      </c>
      <c r="O7" s="21">
        <f t="shared" si="3"/>
        <v>0.30860669992418382</v>
      </c>
      <c r="P7" s="21">
        <f t="shared" si="4"/>
        <v>0.36980013081681939</v>
      </c>
      <c r="R7" s="2" t="s">
        <v>178</v>
      </c>
      <c r="S7" s="7" t="s">
        <v>184</v>
      </c>
      <c r="T7" s="21">
        <f t="shared" si="5"/>
        <v>6.0999428133041871E-2</v>
      </c>
      <c r="U7" s="21">
        <f t="shared" si="6"/>
        <v>2.526455763199557E-2</v>
      </c>
      <c r="V7" s="21">
        <f t="shared" si="7"/>
        <v>4.5355736761107268E-2</v>
      </c>
      <c r="W7" s="21">
        <f t="shared" si="8"/>
        <v>0.10801234497346433</v>
      </c>
      <c r="X7" s="21">
        <f t="shared" si="9"/>
        <v>3.6980013081681938E-2</v>
      </c>
      <c r="Z7" s="2" t="s">
        <v>178</v>
      </c>
      <c r="AA7" s="7" t="s">
        <v>184</v>
      </c>
      <c r="AB7" s="22">
        <v>6.0999428133041871E-2</v>
      </c>
      <c r="AC7" s="22">
        <f t="shared" si="10"/>
        <v>0.21561265244824912</v>
      </c>
      <c r="AD7" s="22">
        <f t="shared" si="11"/>
        <v>0.15461322431520724</v>
      </c>
      <c r="AE7" s="3">
        <v>11</v>
      </c>
    </row>
    <row r="8" spans="1:31" x14ac:dyDescent="0.45">
      <c r="A8" s="2" t="s">
        <v>168</v>
      </c>
      <c r="B8" s="7" t="s">
        <v>190</v>
      </c>
      <c r="C8" s="2">
        <v>1</v>
      </c>
      <c r="D8" s="2">
        <v>4</v>
      </c>
      <c r="E8" s="2">
        <v>3</v>
      </c>
      <c r="F8" s="2">
        <v>3</v>
      </c>
      <c r="G8" s="2">
        <v>2</v>
      </c>
      <c r="J8" s="2" t="s">
        <v>168</v>
      </c>
      <c r="K8" s="7" t="s">
        <v>190</v>
      </c>
      <c r="L8" s="21">
        <f t="shared" si="0"/>
        <v>0.15249857033260467</v>
      </c>
      <c r="M8" s="21">
        <f t="shared" si="1"/>
        <v>0.33686076842660762</v>
      </c>
      <c r="N8" s="21">
        <f t="shared" si="2"/>
        <v>0.22677868380553634</v>
      </c>
      <c r="O8" s="21">
        <f t="shared" si="3"/>
        <v>0.23145502494313785</v>
      </c>
      <c r="P8" s="21">
        <f t="shared" si="4"/>
        <v>0.1849000654084097</v>
      </c>
      <c r="R8" s="2" t="s">
        <v>168</v>
      </c>
      <c r="S8" s="7" t="s">
        <v>190</v>
      </c>
      <c r="T8" s="21">
        <f t="shared" si="5"/>
        <v>3.0499714066520935E-2</v>
      </c>
      <c r="U8" s="21">
        <f t="shared" si="6"/>
        <v>5.0529115263991141E-2</v>
      </c>
      <c r="V8" s="21">
        <f t="shared" si="7"/>
        <v>4.5355736761107268E-2</v>
      </c>
      <c r="W8" s="21">
        <f t="shared" si="8"/>
        <v>8.1009258730098246E-2</v>
      </c>
      <c r="X8" s="21">
        <f t="shared" si="9"/>
        <v>1.8490006540840969E-2</v>
      </c>
      <c r="Z8" s="2" t="s">
        <v>168</v>
      </c>
      <c r="AA8" s="7" t="s">
        <v>190</v>
      </c>
      <c r="AB8" s="22">
        <v>3.0499714066520935E-2</v>
      </c>
      <c r="AC8" s="22">
        <f t="shared" si="10"/>
        <v>0.19538411729603763</v>
      </c>
      <c r="AD8" s="22">
        <f t="shared" si="11"/>
        <v>0.1648844032295167</v>
      </c>
      <c r="AE8" s="3">
        <v>6</v>
      </c>
    </row>
    <row r="9" spans="1:31" x14ac:dyDescent="0.45">
      <c r="A9" s="2" t="s">
        <v>172</v>
      </c>
      <c r="B9" s="7" t="s">
        <v>192</v>
      </c>
      <c r="C9" s="2">
        <v>2</v>
      </c>
      <c r="D9" s="2">
        <v>3</v>
      </c>
      <c r="E9" s="2">
        <v>4</v>
      </c>
      <c r="F9" s="2">
        <v>3</v>
      </c>
      <c r="G9" s="2">
        <v>4</v>
      </c>
      <c r="J9" s="2" t="s">
        <v>172</v>
      </c>
      <c r="K9" s="7" t="s">
        <v>192</v>
      </c>
      <c r="L9" s="21">
        <f t="shared" si="0"/>
        <v>0.30499714066520933</v>
      </c>
      <c r="M9" s="21">
        <f t="shared" si="1"/>
        <v>0.25264557631995571</v>
      </c>
      <c r="N9" s="21">
        <f t="shared" si="2"/>
        <v>0.30237157840738177</v>
      </c>
      <c r="O9" s="21">
        <f t="shared" si="3"/>
        <v>0.23145502494313785</v>
      </c>
      <c r="P9" s="21">
        <f t="shared" si="4"/>
        <v>0.36980013081681939</v>
      </c>
      <c r="R9" s="2" t="s">
        <v>172</v>
      </c>
      <c r="S9" s="7" t="s">
        <v>192</v>
      </c>
      <c r="T9" s="21">
        <f t="shared" si="5"/>
        <v>6.0999428133041871E-2</v>
      </c>
      <c r="U9" s="21">
        <f t="shared" si="6"/>
        <v>3.7896836447993354E-2</v>
      </c>
      <c r="V9" s="21">
        <f t="shared" si="7"/>
        <v>6.0474315681476355E-2</v>
      </c>
      <c r="W9" s="21">
        <f t="shared" si="8"/>
        <v>8.1009258730098246E-2</v>
      </c>
      <c r="X9" s="21">
        <f t="shared" si="9"/>
        <v>3.6980013081681938E-2</v>
      </c>
      <c r="Z9" s="2" t="s">
        <v>172</v>
      </c>
      <c r="AA9" s="7" t="s">
        <v>192</v>
      </c>
      <c r="AB9" s="22">
        <v>6.0999428133041871E-2</v>
      </c>
      <c r="AC9" s="22">
        <f t="shared" si="10"/>
        <v>0.21636042394124991</v>
      </c>
      <c r="AD9" s="22">
        <f t="shared" si="11"/>
        <v>0.15536099580820803</v>
      </c>
      <c r="AE9" s="3">
        <v>10</v>
      </c>
    </row>
    <row r="10" spans="1:31" ht="28.5" x14ac:dyDescent="0.45">
      <c r="A10" s="2" t="s">
        <v>167</v>
      </c>
      <c r="B10" s="7" t="s">
        <v>189</v>
      </c>
      <c r="C10" s="2">
        <v>2</v>
      </c>
      <c r="D10" s="2">
        <v>3</v>
      </c>
      <c r="E10" s="2">
        <v>4</v>
      </c>
      <c r="F10" s="2">
        <v>4</v>
      </c>
      <c r="G10" s="2">
        <v>2</v>
      </c>
      <c r="J10" s="2" t="s">
        <v>167</v>
      </c>
      <c r="K10" s="7" t="s">
        <v>189</v>
      </c>
      <c r="L10" s="21">
        <f t="shared" si="0"/>
        <v>0.30499714066520933</v>
      </c>
      <c r="M10" s="21">
        <f t="shared" si="1"/>
        <v>0.25264557631995571</v>
      </c>
      <c r="N10" s="21">
        <f t="shared" si="2"/>
        <v>0.30237157840738177</v>
      </c>
      <c r="O10" s="21">
        <f t="shared" si="3"/>
        <v>0.30860669992418382</v>
      </c>
      <c r="P10" s="21">
        <f t="shared" si="4"/>
        <v>0.1849000654084097</v>
      </c>
      <c r="R10" s="2" t="s">
        <v>167</v>
      </c>
      <c r="S10" s="7" t="s">
        <v>189</v>
      </c>
      <c r="T10" s="21">
        <f t="shared" si="5"/>
        <v>6.0999428133041871E-2</v>
      </c>
      <c r="U10" s="21">
        <f t="shared" si="6"/>
        <v>3.7896836447993354E-2</v>
      </c>
      <c r="V10" s="21">
        <f t="shared" si="7"/>
        <v>6.0474315681476355E-2</v>
      </c>
      <c r="W10" s="21">
        <f t="shared" si="8"/>
        <v>0.10801234497346433</v>
      </c>
      <c r="X10" s="21">
        <f t="shared" si="9"/>
        <v>1.8490006540840969E-2</v>
      </c>
      <c r="Z10" s="2" t="s">
        <v>167</v>
      </c>
      <c r="AA10" s="7" t="s">
        <v>189</v>
      </c>
      <c r="AB10" s="22">
        <v>6.0999428133041871E-2</v>
      </c>
      <c r="AC10" s="22">
        <f t="shared" si="10"/>
        <v>0.22487350364377498</v>
      </c>
      <c r="AD10" s="22">
        <f t="shared" si="11"/>
        <v>0.1638740755107331</v>
      </c>
      <c r="AE10" s="3">
        <v>9</v>
      </c>
    </row>
    <row r="11" spans="1:31" x14ac:dyDescent="0.45">
      <c r="A11" s="2" t="s">
        <v>170</v>
      </c>
      <c r="B11" s="7" t="s">
        <v>191</v>
      </c>
      <c r="C11" s="2">
        <v>2</v>
      </c>
      <c r="D11" s="2">
        <v>2</v>
      </c>
      <c r="E11" s="2">
        <v>3</v>
      </c>
      <c r="F11" s="2">
        <v>4</v>
      </c>
      <c r="G11" s="2">
        <v>3</v>
      </c>
      <c r="J11" s="2" t="s">
        <v>170</v>
      </c>
      <c r="K11" s="7" t="s">
        <v>191</v>
      </c>
      <c r="L11" s="21">
        <f t="shared" si="0"/>
        <v>0.30499714066520933</v>
      </c>
      <c r="M11" s="21">
        <f t="shared" si="1"/>
        <v>0.16843038421330381</v>
      </c>
      <c r="N11" s="21">
        <f t="shared" si="2"/>
        <v>0.22677868380553634</v>
      </c>
      <c r="O11" s="21">
        <f t="shared" si="3"/>
        <v>0.30860669992418382</v>
      </c>
      <c r="P11" s="21">
        <f t="shared" si="4"/>
        <v>0.27735009811261452</v>
      </c>
      <c r="R11" s="2" t="s">
        <v>170</v>
      </c>
      <c r="S11" s="7" t="s">
        <v>191</v>
      </c>
      <c r="T11" s="21">
        <f t="shared" si="5"/>
        <v>6.0999428133041871E-2</v>
      </c>
      <c r="U11" s="21">
        <f t="shared" si="6"/>
        <v>2.526455763199557E-2</v>
      </c>
      <c r="V11" s="21">
        <f t="shared" si="7"/>
        <v>4.5355736761107268E-2</v>
      </c>
      <c r="W11" s="21">
        <f t="shared" si="8"/>
        <v>0.10801234497346433</v>
      </c>
      <c r="X11" s="21">
        <f t="shared" si="9"/>
        <v>2.7735009811261452E-2</v>
      </c>
      <c r="Z11" s="2" t="s">
        <v>170</v>
      </c>
      <c r="AA11" s="7" t="s">
        <v>191</v>
      </c>
      <c r="AB11" s="22">
        <v>6.0999428133041871E-2</v>
      </c>
      <c r="AC11" s="22">
        <f t="shared" si="10"/>
        <v>0.20636764917782863</v>
      </c>
      <c r="AD11" s="22">
        <f t="shared" si="11"/>
        <v>0.14536822104478675</v>
      </c>
      <c r="AE11" s="3">
        <v>12</v>
      </c>
    </row>
    <row r="12" spans="1:31" x14ac:dyDescent="0.45">
      <c r="A12" s="2" t="s">
        <v>171</v>
      </c>
      <c r="B12" s="7" t="s">
        <v>180</v>
      </c>
      <c r="C12" s="2">
        <v>1</v>
      </c>
      <c r="D12" s="2">
        <v>4</v>
      </c>
      <c r="E12" s="2">
        <v>3</v>
      </c>
      <c r="F12" s="2">
        <v>3</v>
      </c>
      <c r="G12" s="2">
        <v>2</v>
      </c>
      <c r="J12" s="2" t="s">
        <v>171</v>
      </c>
      <c r="K12" s="7" t="s">
        <v>180</v>
      </c>
      <c r="L12" s="21">
        <f t="shared" si="0"/>
        <v>0.15249857033260467</v>
      </c>
      <c r="M12" s="21">
        <f t="shared" si="1"/>
        <v>0.33686076842660762</v>
      </c>
      <c r="N12" s="21">
        <f t="shared" si="2"/>
        <v>0.22677868380553634</v>
      </c>
      <c r="O12" s="21">
        <f t="shared" si="3"/>
        <v>0.23145502494313785</v>
      </c>
      <c r="P12" s="21">
        <f t="shared" si="4"/>
        <v>0.1849000654084097</v>
      </c>
      <c r="R12" s="2" t="s">
        <v>171</v>
      </c>
      <c r="S12" s="7" t="s">
        <v>180</v>
      </c>
      <c r="T12" s="21">
        <f t="shared" si="5"/>
        <v>3.0499714066520935E-2</v>
      </c>
      <c r="U12" s="21">
        <f t="shared" si="6"/>
        <v>5.0529115263991141E-2</v>
      </c>
      <c r="V12" s="21">
        <f t="shared" si="7"/>
        <v>4.5355736761107268E-2</v>
      </c>
      <c r="W12" s="21">
        <f t="shared" si="8"/>
        <v>8.1009258730098246E-2</v>
      </c>
      <c r="X12" s="21">
        <f t="shared" si="9"/>
        <v>1.8490006540840969E-2</v>
      </c>
      <c r="Z12" s="2" t="s">
        <v>171</v>
      </c>
      <c r="AA12" s="7" t="s">
        <v>180</v>
      </c>
      <c r="AB12" s="22">
        <v>3.0499714066520935E-2</v>
      </c>
      <c r="AC12" s="22">
        <f t="shared" si="10"/>
        <v>0.19538411729603763</v>
      </c>
      <c r="AD12" s="22">
        <f t="shared" si="11"/>
        <v>0.1648844032295167</v>
      </c>
      <c r="AE12" s="3">
        <v>7</v>
      </c>
    </row>
    <row r="13" spans="1:31" x14ac:dyDescent="0.45">
      <c r="A13" s="2" t="s">
        <v>177</v>
      </c>
      <c r="B13" s="7" t="s">
        <v>183</v>
      </c>
      <c r="C13" s="2">
        <v>1</v>
      </c>
      <c r="D13" s="2">
        <v>4</v>
      </c>
      <c r="E13" s="2">
        <v>3</v>
      </c>
      <c r="F13" s="2">
        <v>3</v>
      </c>
      <c r="G13" s="2">
        <v>3</v>
      </c>
      <c r="J13" s="2" t="s">
        <v>177</v>
      </c>
      <c r="K13" s="7" t="s">
        <v>183</v>
      </c>
      <c r="L13" s="21">
        <f t="shared" si="0"/>
        <v>0.15249857033260467</v>
      </c>
      <c r="M13" s="21">
        <f t="shared" si="1"/>
        <v>0.33686076842660762</v>
      </c>
      <c r="N13" s="21">
        <f t="shared" si="2"/>
        <v>0.22677868380553634</v>
      </c>
      <c r="O13" s="21">
        <f t="shared" si="3"/>
        <v>0.23145502494313785</v>
      </c>
      <c r="P13" s="21">
        <f t="shared" si="4"/>
        <v>0.27735009811261452</v>
      </c>
      <c r="R13" s="2" t="s">
        <v>177</v>
      </c>
      <c r="S13" s="7" t="s">
        <v>183</v>
      </c>
      <c r="T13" s="21">
        <f t="shared" si="5"/>
        <v>3.0499714066520935E-2</v>
      </c>
      <c r="U13" s="21">
        <f t="shared" si="6"/>
        <v>5.0529115263991141E-2</v>
      </c>
      <c r="V13" s="21">
        <f t="shared" si="7"/>
        <v>4.5355736761107268E-2</v>
      </c>
      <c r="W13" s="21">
        <f t="shared" si="8"/>
        <v>8.1009258730098246E-2</v>
      </c>
      <c r="X13" s="21">
        <f t="shared" si="9"/>
        <v>2.7735009811261452E-2</v>
      </c>
      <c r="Z13" s="2" t="s">
        <v>177</v>
      </c>
      <c r="AA13" s="7" t="s">
        <v>183</v>
      </c>
      <c r="AB13" s="22">
        <v>3.0499714066520935E-2</v>
      </c>
      <c r="AC13" s="22">
        <f t="shared" si="10"/>
        <v>0.20462912056645813</v>
      </c>
      <c r="AD13" s="22">
        <f t="shared" si="11"/>
        <v>0.17412940649993719</v>
      </c>
      <c r="AE13" s="3">
        <v>4</v>
      </c>
    </row>
    <row r="14" spans="1:31" x14ac:dyDescent="0.45">
      <c r="A14" s="2" t="s">
        <v>175</v>
      </c>
      <c r="B14" s="7" t="s">
        <v>186</v>
      </c>
      <c r="C14" s="2">
        <v>2</v>
      </c>
      <c r="D14" s="2">
        <v>2</v>
      </c>
      <c r="E14" s="2">
        <v>4</v>
      </c>
      <c r="F14" s="2">
        <v>3</v>
      </c>
      <c r="G14" s="2">
        <v>2</v>
      </c>
      <c r="J14" s="2" t="s">
        <v>175</v>
      </c>
      <c r="K14" s="7" t="s">
        <v>186</v>
      </c>
      <c r="L14" s="21">
        <f t="shared" si="0"/>
        <v>0.30499714066520933</v>
      </c>
      <c r="M14" s="21">
        <f t="shared" si="1"/>
        <v>0.16843038421330381</v>
      </c>
      <c r="N14" s="21">
        <f t="shared" si="2"/>
        <v>0.30237157840738177</v>
      </c>
      <c r="O14" s="21">
        <f t="shared" si="3"/>
        <v>0.23145502494313785</v>
      </c>
      <c r="P14" s="21">
        <f t="shared" si="4"/>
        <v>0.1849000654084097</v>
      </c>
      <c r="R14" s="2" t="s">
        <v>175</v>
      </c>
      <c r="S14" s="7" t="s">
        <v>186</v>
      </c>
      <c r="T14" s="21">
        <f t="shared" si="5"/>
        <v>6.0999428133041871E-2</v>
      </c>
      <c r="U14" s="21">
        <f t="shared" si="6"/>
        <v>2.526455763199557E-2</v>
      </c>
      <c r="V14" s="21">
        <f t="shared" si="7"/>
        <v>6.0474315681476355E-2</v>
      </c>
      <c r="W14" s="21">
        <f t="shared" si="8"/>
        <v>8.1009258730098246E-2</v>
      </c>
      <c r="X14" s="21">
        <f t="shared" si="9"/>
        <v>1.8490006540840969E-2</v>
      </c>
      <c r="Z14" s="2" t="s">
        <v>175</v>
      </c>
      <c r="AA14" s="7" t="s">
        <v>186</v>
      </c>
      <c r="AB14" s="22">
        <v>6.0999428133041871E-2</v>
      </c>
      <c r="AC14" s="22">
        <f t="shared" si="10"/>
        <v>0.18523813858441113</v>
      </c>
      <c r="AD14" s="22">
        <f t="shared" si="11"/>
        <v>0.12423871045136925</v>
      </c>
      <c r="AE14" s="3">
        <v>13</v>
      </c>
    </row>
    <row r="15" spans="1:31" x14ac:dyDescent="0.45">
      <c r="A15" s="2" t="s">
        <v>176</v>
      </c>
      <c r="B15" s="7" t="s">
        <v>182</v>
      </c>
      <c r="C15" s="2">
        <v>1</v>
      </c>
      <c r="D15" s="2">
        <v>4</v>
      </c>
      <c r="E15" s="2">
        <v>3</v>
      </c>
      <c r="F15" s="2">
        <v>3</v>
      </c>
      <c r="G15" s="2">
        <v>2</v>
      </c>
      <c r="J15" s="2" t="s">
        <v>176</v>
      </c>
      <c r="K15" s="7" t="s">
        <v>182</v>
      </c>
      <c r="L15" s="21">
        <f t="shared" si="0"/>
        <v>0.15249857033260467</v>
      </c>
      <c r="M15" s="21">
        <f t="shared" si="1"/>
        <v>0.33686076842660762</v>
      </c>
      <c r="N15" s="21">
        <f t="shared" si="2"/>
        <v>0.22677868380553634</v>
      </c>
      <c r="O15" s="21">
        <f t="shared" si="3"/>
        <v>0.23145502494313785</v>
      </c>
      <c r="P15" s="21">
        <f t="shared" si="4"/>
        <v>0.1849000654084097</v>
      </c>
      <c r="R15" s="2" t="s">
        <v>176</v>
      </c>
      <c r="S15" s="7" t="s">
        <v>182</v>
      </c>
      <c r="T15" s="21">
        <f t="shared" si="5"/>
        <v>3.0499714066520935E-2</v>
      </c>
      <c r="U15" s="21">
        <f t="shared" si="6"/>
        <v>5.0529115263991141E-2</v>
      </c>
      <c r="V15" s="21">
        <f t="shared" si="7"/>
        <v>4.5355736761107268E-2</v>
      </c>
      <c r="W15" s="21">
        <f t="shared" si="8"/>
        <v>8.1009258730098246E-2</v>
      </c>
      <c r="X15" s="21">
        <f t="shared" si="9"/>
        <v>1.8490006540840969E-2</v>
      </c>
      <c r="Z15" s="2" t="s">
        <v>176</v>
      </c>
      <c r="AA15" s="7" t="s">
        <v>182</v>
      </c>
      <c r="AB15" s="22">
        <v>3.0499714066520935E-2</v>
      </c>
      <c r="AC15" s="22">
        <f t="shared" si="10"/>
        <v>0.19538411729603763</v>
      </c>
      <c r="AD15" s="22">
        <f t="shared" si="11"/>
        <v>0.1648844032295167</v>
      </c>
      <c r="AE15" s="3">
        <v>8</v>
      </c>
    </row>
    <row r="16" spans="1:31" x14ac:dyDescent="0.45">
      <c r="A16" s="2" t="s">
        <v>174</v>
      </c>
      <c r="B16" s="7" t="s">
        <v>181</v>
      </c>
      <c r="C16" s="2">
        <v>3</v>
      </c>
      <c r="D16" s="2">
        <v>2</v>
      </c>
      <c r="E16" s="2">
        <v>4</v>
      </c>
      <c r="F16" s="2">
        <v>4</v>
      </c>
      <c r="G16" s="2">
        <v>2</v>
      </c>
      <c r="J16" s="2" t="s">
        <v>174</v>
      </c>
      <c r="K16" s="7" t="s">
        <v>181</v>
      </c>
      <c r="L16" s="21">
        <f t="shared" si="0"/>
        <v>0.457495710997814</v>
      </c>
      <c r="M16" s="21">
        <f t="shared" si="1"/>
        <v>0.16843038421330381</v>
      </c>
      <c r="N16" s="21">
        <f t="shared" si="2"/>
        <v>0.30237157840738177</v>
      </c>
      <c r="O16" s="21">
        <f t="shared" si="3"/>
        <v>0.30860669992418382</v>
      </c>
      <c r="P16" s="21">
        <f t="shared" si="4"/>
        <v>0.1849000654084097</v>
      </c>
      <c r="R16" s="2" t="s">
        <v>174</v>
      </c>
      <c r="S16" s="7" t="s">
        <v>181</v>
      </c>
      <c r="T16" s="21">
        <f t="shared" si="5"/>
        <v>9.1499142199562802E-2</v>
      </c>
      <c r="U16" s="21">
        <f t="shared" si="6"/>
        <v>2.526455763199557E-2</v>
      </c>
      <c r="V16" s="21">
        <f t="shared" si="7"/>
        <v>6.0474315681476355E-2</v>
      </c>
      <c r="W16" s="21">
        <f t="shared" si="8"/>
        <v>0.10801234497346433</v>
      </c>
      <c r="X16" s="21">
        <f t="shared" si="9"/>
        <v>1.8490006540840969E-2</v>
      </c>
      <c r="Z16" s="2" t="s">
        <v>174</v>
      </c>
      <c r="AA16" s="7" t="s">
        <v>181</v>
      </c>
      <c r="AB16" s="22">
        <v>9.1499142199562802E-2</v>
      </c>
      <c r="AC16" s="22">
        <f t="shared" si="10"/>
        <v>0.21224122482777721</v>
      </c>
      <c r="AD16" s="22">
        <f t="shared" si="11"/>
        <v>0.12074208262821441</v>
      </c>
      <c r="AE16" s="3">
        <v>14</v>
      </c>
    </row>
    <row r="17" spans="1:24" x14ac:dyDescent="0.45">
      <c r="A17" s="10"/>
      <c r="B17" s="8" t="s">
        <v>225</v>
      </c>
      <c r="C17" s="10">
        <f>SQRT(SUMSQ(C3:C16))</f>
        <v>6.5574385243020004</v>
      </c>
      <c r="D17" s="10">
        <f t="shared" ref="D17:G17" si="12">SQRT(SUMSQ(D3:D16))</f>
        <v>11.874342087037917</v>
      </c>
      <c r="E17" s="10">
        <f t="shared" si="12"/>
        <v>13.228756555322953</v>
      </c>
      <c r="F17" s="10">
        <f t="shared" si="12"/>
        <v>12.961481396815721</v>
      </c>
      <c r="G17" s="10">
        <f t="shared" si="12"/>
        <v>10.816653826391969</v>
      </c>
      <c r="J17" s="29" t="s">
        <v>226</v>
      </c>
      <c r="K17" s="29"/>
      <c r="L17" s="3" t="s">
        <v>227</v>
      </c>
      <c r="M17" s="3" t="s">
        <v>228</v>
      </c>
      <c r="N17" s="3" t="s">
        <v>228</v>
      </c>
      <c r="O17" s="3" t="s">
        <v>228</v>
      </c>
      <c r="P17" s="3" t="s">
        <v>228</v>
      </c>
      <c r="R17" s="29" t="s">
        <v>226</v>
      </c>
      <c r="S17" s="29"/>
      <c r="T17" s="3" t="s">
        <v>227</v>
      </c>
      <c r="U17" s="3" t="s">
        <v>228</v>
      </c>
      <c r="V17" s="3" t="s">
        <v>228</v>
      </c>
      <c r="W17" s="3" t="s">
        <v>228</v>
      </c>
      <c r="X17" s="3" t="s">
        <v>228</v>
      </c>
    </row>
    <row r="19" spans="1:24" x14ac:dyDescent="0.45">
      <c r="A19" s="28" t="s">
        <v>210</v>
      </c>
      <c r="B19" s="28"/>
      <c r="C19" s="28"/>
      <c r="D19" s="28"/>
    </row>
    <row r="20" spans="1:24" ht="28.5" customHeight="1" x14ac:dyDescent="0.45">
      <c r="A20" s="27" t="s">
        <v>211</v>
      </c>
      <c r="B20" s="27"/>
      <c r="C20" s="27"/>
      <c r="D20" s="27"/>
    </row>
    <row r="21" spans="1:24" x14ac:dyDescent="0.45">
      <c r="A21" s="16" t="s">
        <v>215</v>
      </c>
      <c r="B21" s="16" t="s">
        <v>212</v>
      </c>
      <c r="C21" s="16" t="s">
        <v>213</v>
      </c>
      <c r="D21" s="16" t="s">
        <v>214</v>
      </c>
    </row>
    <row r="22" spans="1:24" x14ac:dyDescent="0.45">
      <c r="A22" s="26" t="s">
        <v>205</v>
      </c>
      <c r="B22" s="26" t="s">
        <v>216</v>
      </c>
      <c r="C22" s="3" t="s">
        <v>217</v>
      </c>
      <c r="D22" s="3">
        <v>1</v>
      </c>
    </row>
    <row r="23" spans="1:24" x14ac:dyDescent="0.45">
      <c r="A23" s="26"/>
      <c r="B23" s="26"/>
      <c r="C23" s="3" t="s">
        <v>218</v>
      </c>
      <c r="D23" s="3">
        <v>2</v>
      </c>
    </row>
    <row r="24" spans="1:24" x14ac:dyDescent="0.45">
      <c r="A24" s="26"/>
      <c r="B24" s="26"/>
      <c r="C24" s="3" t="s">
        <v>219</v>
      </c>
      <c r="D24" s="3">
        <v>3</v>
      </c>
    </row>
    <row r="25" spans="1:24" x14ac:dyDescent="0.45">
      <c r="A25" s="26"/>
      <c r="B25" s="26"/>
      <c r="C25" s="3" t="s">
        <v>220</v>
      </c>
      <c r="D25" s="3">
        <v>4</v>
      </c>
    </row>
    <row r="26" spans="1:24" x14ac:dyDescent="0.45">
      <c r="A26" s="26" t="s">
        <v>206</v>
      </c>
      <c r="B26" s="26" t="s">
        <v>221</v>
      </c>
      <c r="C26" s="3" t="s">
        <v>217</v>
      </c>
      <c r="D26" s="3">
        <v>1</v>
      </c>
    </row>
    <row r="27" spans="1:24" x14ac:dyDescent="0.45">
      <c r="A27" s="26"/>
      <c r="B27" s="26"/>
      <c r="C27" s="3" t="s">
        <v>218</v>
      </c>
      <c r="D27" s="3">
        <v>2</v>
      </c>
    </row>
    <row r="28" spans="1:24" x14ac:dyDescent="0.45">
      <c r="A28" s="26"/>
      <c r="B28" s="26"/>
      <c r="C28" s="3" t="s">
        <v>219</v>
      </c>
      <c r="D28" s="3">
        <v>3</v>
      </c>
    </row>
    <row r="29" spans="1:24" x14ac:dyDescent="0.45">
      <c r="A29" s="26"/>
      <c r="B29" s="26"/>
      <c r="C29" s="3" t="s">
        <v>220</v>
      </c>
      <c r="D29" s="3">
        <v>4</v>
      </c>
    </row>
    <row r="30" spans="1:24" x14ac:dyDescent="0.45">
      <c r="A30" s="26" t="s">
        <v>207</v>
      </c>
      <c r="B30" s="26" t="s">
        <v>222</v>
      </c>
      <c r="C30" s="3" t="s">
        <v>217</v>
      </c>
      <c r="D30" s="3">
        <v>1</v>
      </c>
    </row>
    <row r="31" spans="1:24" x14ac:dyDescent="0.45">
      <c r="A31" s="26"/>
      <c r="B31" s="26"/>
      <c r="C31" s="3" t="s">
        <v>218</v>
      </c>
      <c r="D31" s="3">
        <v>2</v>
      </c>
    </row>
    <row r="32" spans="1:24" x14ac:dyDescent="0.45">
      <c r="A32" s="26"/>
      <c r="B32" s="26"/>
      <c r="C32" s="3" t="s">
        <v>219</v>
      </c>
      <c r="D32" s="3">
        <v>3</v>
      </c>
    </row>
    <row r="33" spans="1:4" x14ac:dyDescent="0.45">
      <c r="A33" s="26"/>
      <c r="B33" s="26"/>
      <c r="C33" s="3" t="s">
        <v>220</v>
      </c>
      <c r="D33" s="3">
        <v>4</v>
      </c>
    </row>
    <row r="34" spans="1:4" x14ac:dyDescent="0.45">
      <c r="A34" s="26" t="s">
        <v>208</v>
      </c>
      <c r="B34" s="26" t="s">
        <v>223</v>
      </c>
      <c r="C34" s="3" t="s">
        <v>217</v>
      </c>
      <c r="D34" s="3">
        <v>1</v>
      </c>
    </row>
    <row r="35" spans="1:4" x14ac:dyDescent="0.45">
      <c r="A35" s="26"/>
      <c r="B35" s="26"/>
      <c r="C35" s="3" t="s">
        <v>218</v>
      </c>
      <c r="D35" s="3">
        <v>2</v>
      </c>
    </row>
    <row r="36" spans="1:4" x14ac:dyDescent="0.45">
      <c r="A36" s="26"/>
      <c r="B36" s="26"/>
      <c r="C36" s="3" t="s">
        <v>219</v>
      </c>
      <c r="D36" s="3">
        <v>3</v>
      </c>
    </row>
    <row r="37" spans="1:4" x14ac:dyDescent="0.45">
      <c r="A37" s="26"/>
      <c r="B37" s="26"/>
      <c r="C37" s="3" t="s">
        <v>220</v>
      </c>
      <c r="D37" s="3">
        <v>4</v>
      </c>
    </row>
    <row r="38" spans="1:4" x14ac:dyDescent="0.45">
      <c r="A38" s="26" t="s">
        <v>209</v>
      </c>
      <c r="B38" s="26" t="s">
        <v>224</v>
      </c>
      <c r="C38" s="3" t="s">
        <v>217</v>
      </c>
      <c r="D38" s="3">
        <v>1</v>
      </c>
    </row>
    <row r="39" spans="1:4" x14ac:dyDescent="0.45">
      <c r="A39" s="26"/>
      <c r="B39" s="26"/>
      <c r="C39" s="3" t="s">
        <v>218</v>
      </c>
      <c r="D39" s="3">
        <v>2</v>
      </c>
    </row>
    <row r="40" spans="1:4" x14ac:dyDescent="0.45">
      <c r="A40" s="26"/>
      <c r="B40" s="26"/>
      <c r="C40" s="3" t="s">
        <v>219</v>
      </c>
      <c r="D40" s="3">
        <v>3</v>
      </c>
    </row>
    <row r="41" spans="1:4" x14ac:dyDescent="0.45">
      <c r="A41" s="26"/>
      <c r="B41" s="26"/>
      <c r="C41" s="3" t="s">
        <v>220</v>
      </c>
      <c r="D41" s="3">
        <v>4</v>
      </c>
    </row>
  </sheetData>
  <mergeCells count="27">
    <mergeCell ref="AD1:AD2"/>
    <mergeCell ref="AE1:AE2"/>
    <mergeCell ref="T1:X1"/>
    <mergeCell ref="R17:S17"/>
    <mergeCell ref="Z1:Z2"/>
    <mergeCell ref="AA1:AA2"/>
    <mergeCell ref="S1:S2"/>
    <mergeCell ref="J1:J2"/>
    <mergeCell ref="K1:K2"/>
    <mergeCell ref="L1:P1"/>
    <mergeCell ref="J17:K17"/>
    <mergeCell ref="R1:R2"/>
    <mergeCell ref="B26:B29"/>
    <mergeCell ref="B30:B33"/>
    <mergeCell ref="B34:B37"/>
    <mergeCell ref="B38:B41"/>
    <mergeCell ref="A38:A41"/>
    <mergeCell ref="A34:A37"/>
    <mergeCell ref="A30:A33"/>
    <mergeCell ref="A26:A29"/>
    <mergeCell ref="C1:G1"/>
    <mergeCell ref="B1:B2"/>
    <mergeCell ref="A1:A2"/>
    <mergeCell ref="B22:B25"/>
    <mergeCell ref="A22:A25"/>
    <mergeCell ref="A20:D20"/>
    <mergeCell ref="A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Risk Events</vt:lpstr>
      <vt:lpstr>Risk Events (done isi)</vt:lpstr>
      <vt:lpstr>Risk Agents</vt:lpstr>
      <vt:lpstr>Risk Agents (done isi)</vt:lpstr>
      <vt:lpstr>HOR1 Model</vt:lpstr>
      <vt:lpstr>HOR1 Model experiment</vt:lpstr>
      <vt:lpstr>HOR2 Model</vt:lpstr>
      <vt:lpstr>MOORA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Cecilia</dc:creator>
  <cp:lastModifiedBy>Elena Cecilia</cp:lastModifiedBy>
  <cp:lastPrinted>2026-04-21T09:00:59Z</cp:lastPrinted>
  <dcterms:created xsi:type="dcterms:W3CDTF">2026-04-19T09:21:41Z</dcterms:created>
  <dcterms:modified xsi:type="dcterms:W3CDTF">2026-05-11T14:46:03Z</dcterms:modified>
</cp:coreProperties>
</file>